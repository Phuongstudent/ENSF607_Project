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EAAD5824-E589-9196-6FC8-2F1B51211585}"/>
  <workbookPr codeName="ThisWorkbook"/>
  <mc:AlternateContent xmlns:mc="http://schemas.openxmlformats.org/markup-compatibility/2006">
    <mc:Choice Requires="x15">
      <x15ac:absPath xmlns:x15ac="http://schemas.microsoft.com/office/spreadsheetml/2010/11/ac" url="C:\Users\Patrick\Desktop\UniversityMastersProgram\CourseInformation\WinterBreak\ENSF607_Project\"/>
    </mc:Choice>
  </mc:AlternateContent>
  <bookViews>
    <workbookView xWindow="0" yWindow="0" windowWidth="2370" windowHeight="0"/>
  </bookViews>
  <sheets>
    <sheet name="Course Outline" sheetId="15" r:id="rId1"/>
    <sheet name="Formatting" sheetId="3" state="hidden" r:id="rId2"/>
    <sheet name="Validation" sheetId="2" state="hidden" r:id="rId3"/>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14" i="15" l="1"/>
  <c r="D14" i="15"/>
  <c r="Q6" i="2"/>
  <c r="Q7" i="2"/>
  <c r="Q8" i="2" s="1"/>
  <c r="Q9" i="2" s="1"/>
  <c r="Q10" i="2" s="1"/>
  <c r="Q11" i="2" s="1"/>
  <c r="Q12" i="2" s="1"/>
  <c r="Q13" i="2" s="1"/>
  <c r="Q14" i="2" s="1"/>
  <c r="Q15" i="2" s="1"/>
</calcChain>
</file>

<file path=xl/comments1.xml><?xml version="1.0" encoding="utf-8"?>
<comments xmlns="http://schemas.openxmlformats.org/spreadsheetml/2006/main">
  <authors>
    <author>Author</author>
  </authors>
  <commentList>
    <comment ref="D6" authorId="0" shapeId="0">
      <text>
        <r>
          <rPr>
            <sz val="9"/>
            <color indexed="81"/>
            <rFont val="Tahoma"/>
            <family val="2"/>
          </rPr>
          <t>Buttons, comments, and shaded areas will not appear on the generated PDF.</t>
        </r>
      </text>
    </comment>
    <comment ref="B28" authorId="0" shapeId="0">
      <text>
        <r>
          <rPr>
            <b/>
            <sz val="10"/>
            <color indexed="81"/>
            <rFont val="Tahoma"/>
            <family val="2"/>
          </rPr>
          <t>This shaded area will not appear on the generated course outline, but tables within it will need to be updated.</t>
        </r>
      </text>
    </comment>
    <comment ref="D56" authorId="0" shapeId="0">
      <text>
        <r>
          <rPr>
            <b/>
            <sz val="9"/>
            <color indexed="81"/>
            <rFont val="Tahoma"/>
            <family val="2"/>
          </rPr>
          <t>At least one element must be selected for categories that identify AUs</t>
        </r>
      </text>
    </comment>
    <comment ref="F56" authorId="0" shapeId="0">
      <text>
        <r>
          <rPr>
            <b/>
            <sz val="9"/>
            <color indexed="81"/>
            <rFont val="Tahoma"/>
            <family val="2"/>
          </rPr>
          <t>At least one element must be selected for categories that identify AUs</t>
        </r>
      </text>
    </comment>
    <comment ref="H56" authorId="0" shapeId="0">
      <text>
        <r>
          <rPr>
            <b/>
            <sz val="9"/>
            <color indexed="81"/>
            <rFont val="Tahoma"/>
            <family val="2"/>
          </rPr>
          <t>At least one element must be selected for categories that identify AUs</t>
        </r>
      </text>
    </comment>
    <comment ref="D57" authorId="0" shapeId="0">
      <text>
        <r>
          <rPr>
            <b/>
            <sz val="9"/>
            <color indexed="81"/>
            <rFont val="Tahoma"/>
            <family val="2"/>
          </rPr>
          <t>At least one element must be selected for categories that identify AUs</t>
        </r>
      </text>
    </comment>
    <comment ref="F57" authorId="0" shapeId="0">
      <text>
        <r>
          <rPr>
            <b/>
            <sz val="9"/>
            <color indexed="81"/>
            <rFont val="Tahoma"/>
            <family val="2"/>
          </rPr>
          <t>At least one element must be selected for categories that identify AUs</t>
        </r>
      </text>
    </comment>
    <comment ref="H57" authorId="0" shapeId="0">
      <text>
        <r>
          <rPr>
            <b/>
            <sz val="9"/>
            <color indexed="81"/>
            <rFont val="Tahoma"/>
            <family val="2"/>
          </rPr>
          <t>At least one element must be selected for categories that identify AUs</t>
        </r>
      </text>
    </comment>
    <comment ref="D58" authorId="0" shapeId="0">
      <text>
        <r>
          <rPr>
            <b/>
            <sz val="9"/>
            <color indexed="81"/>
            <rFont val="Tahoma"/>
            <family val="2"/>
          </rPr>
          <t>At least one element must be selected for categories that identify AUs</t>
        </r>
      </text>
    </comment>
    <comment ref="F58" authorId="0" shapeId="0">
      <text>
        <r>
          <rPr>
            <b/>
            <sz val="9"/>
            <color indexed="81"/>
            <rFont val="Tahoma"/>
            <family val="2"/>
          </rPr>
          <t>At least one element must be selected for categories that identify AUs</t>
        </r>
      </text>
    </comment>
    <comment ref="H58" authorId="0" shapeId="0">
      <text>
        <r>
          <rPr>
            <b/>
            <sz val="9"/>
            <color indexed="81"/>
            <rFont val="Tahoma"/>
            <family val="2"/>
          </rPr>
          <t>At least one element must be selected for categories that identify AUs</t>
        </r>
      </text>
    </comment>
  </commentList>
</comments>
</file>

<file path=xl/sharedStrings.xml><?xml version="1.0" encoding="utf-8"?>
<sst xmlns="http://schemas.openxmlformats.org/spreadsheetml/2006/main" count="437" uniqueCount="387">
  <si>
    <t>Math</t>
  </si>
  <si>
    <t>Natural Science</t>
  </si>
  <si>
    <t>Complementary Studies</t>
  </si>
  <si>
    <t>Engineering Science</t>
  </si>
  <si>
    <t>Engineering Design</t>
  </si>
  <si>
    <t>AU %</t>
  </si>
  <si>
    <t>Section</t>
  </si>
  <si>
    <t>Location</t>
  </si>
  <si>
    <t>Phone</t>
  </si>
  <si>
    <t>Office</t>
  </si>
  <si>
    <t>Email</t>
  </si>
  <si>
    <t>Graduate Attribute</t>
  </si>
  <si>
    <t>Yes</t>
  </si>
  <si>
    <t>No</t>
  </si>
  <si>
    <t>DiffCalc</t>
  </si>
  <si>
    <t>DiffEq</t>
  </si>
  <si>
    <t>Discrete</t>
  </si>
  <si>
    <t>IntCalc</t>
  </si>
  <si>
    <t>LinAlg</t>
  </si>
  <si>
    <t>NMeths</t>
  </si>
  <si>
    <t>Prob</t>
  </si>
  <si>
    <t>Stats</t>
  </si>
  <si>
    <t>Chem</t>
  </si>
  <si>
    <t>Earth</t>
  </si>
  <si>
    <t>Life</t>
  </si>
  <si>
    <t>Phys</t>
  </si>
  <si>
    <t>EngEcon</t>
  </si>
  <si>
    <t>EnvSust</t>
  </si>
  <si>
    <t>H&amp;S</t>
  </si>
  <si>
    <t>HumSS</t>
  </si>
  <si>
    <t>Impacts</t>
  </si>
  <si>
    <t>OWComm</t>
  </si>
  <si>
    <t>PEthics</t>
  </si>
  <si>
    <t>Other</t>
  </si>
  <si>
    <t>&lt;5</t>
  </si>
  <si>
    <t>5-10</t>
  </si>
  <si>
    <t>10-20</t>
  </si>
  <si>
    <t>20-50</t>
  </si>
  <si>
    <t>&gt;50</t>
  </si>
  <si>
    <t>Lab</t>
  </si>
  <si>
    <t>Hands-on</t>
  </si>
  <si>
    <t>Simulation</t>
  </si>
  <si>
    <t>Problem</t>
  </si>
  <si>
    <t>Project</t>
  </si>
  <si>
    <t>Demo</t>
  </si>
  <si>
    <t>3. Timetable</t>
  </si>
  <si>
    <t>4. Course Instructors</t>
  </si>
  <si>
    <t>5. Examinations</t>
  </si>
  <si>
    <t>6. Use of Calculators in Examinations</t>
  </si>
  <si>
    <t>7. Final Grade Determination</t>
  </si>
  <si>
    <t>At the end of this course, you will be able to:</t>
  </si>
  <si>
    <t>8. Textbook</t>
  </si>
  <si>
    <t>9. Course Policies</t>
  </si>
  <si>
    <t>1. Calendar Information</t>
  </si>
  <si>
    <t>Graduate Attributes are generic characteristics specified by the CEAB (Canadian Engineering Accreditation Board), expected to be exhibited by graduates of Canadian engineering schools. This table summarizes how the Learning Outcomes relate to key Graduate Attributes addressed in this course.</t>
  </si>
  <si>
    <t>CEAB Graduate Attributes:</t>
  </si>
  <si>
    <t xml:space="preserve">    A1. A knowledge base for engineering</t>
  </si>
  <si>
    <t xml:space="preserve">    A2. Problem analysis</t>
  </si>
  <si>
    <t xml:space="preserve">    A3. Investigation</t>
  </si>
  <si>
    <t xml:space="preserve">    A4. Design</t>
  </si>
  <si>
    <t xml:space="preserve">    A5. Use of engineering tools</t>
  </si>
  <si>
    <t xml:space="preserve">    A6. Individual and team work</t>
  </si>
  <si>
    <t>A7. Communication skills</t>
  </si>
  <si>
    <t>A8. Professionalism</t>
  </si>
  <si>
    <t>A9. Impact of engineering on society/environment</t>
  </si>
  <si>
    <t>A10. Ethics and equity</t>
  </si>
  <si>
    <t>A11. Economics and project management</t>
  </si>
  <si>
    <t>A12. Life-long learning</t>
  </si>
  <si>
    <t>*The level at which the learning outcome is addressed in this course:</t>
  </si>
  <si>
    <t>I (Introduced):</t>
  </si>
  <si>
    <t>D (Developed):</t>
  </si>
  <si>
    <t>A (Applied):</t>
  </si>
  <si>
    <t>Introductory level</t>
  </si>
  <si>
    <t>Intermediate development level</t>
  </si>
  <si>
    <t>Advanced application level</t>
  </si>
  <si>
    <t>Course Hours:</t>
  </si>
  <si>
    <t>Calendar Reference:</t>
  </si>
  <si>
    <t>3 units; H (3-2)</t>
  </si>
  <si>
    <t>The final grade in this course will be based on the following components:</t>
  </si>
  <si>
    <t>Component</t>
  </si>
  <si>
    <t>Learning Outcome(s) Evaluated</t>
  </si>
  <si>
    <t>Weight</t>
  </si>
  <si>
    <t>Assignments</t>
  </si>
  <si>
    <t>Midterm Examination</t>
  </si>
  <si>
    <t>Final Examination</t>
  </si>
  <si>
    <t>Total:</t>
  </si>
  <si>
    <t>Title</t>
  </si>
  <si>
    <t>Author(s)</t>
  </si>
  <si>
    <t>Edition, Year</t>
  </si>
  <si>
    <t>Publisher</t>
  </si>
  <si>
    <t>COURSE OUTLINE</t>
  </si>
  <si>
    <t>Approved by Head</t>
  </si>
  <si>
    <t>Prepared by Instructor</t>
  </si>
  <si>
    <t>Date</t>
  </si>
  <si>
    <t>Initials</t>
  </si>
  <si>
    <t>Academic Credit:</t>
  </si>
  <si>
    <t>Number of Sections</t>
  </si>
  <si>
    <t>Hours Per Week</t>
  </si>
  <si>
    <t>Lecture</t>
  </si>
  <si>
    <t>Tutorial</t>
  </si>
  <si>
    <t>Lab Type</t>
  </si>
  <si>
    <t>Number of Labs</t>
  </si>
  <si>
    <t>Lab Safety Taught?</t>
  </si>
  <si>
    <t>Lab Safety Examined</t>
  </si>
  <si>
    <t>Laboratory Experience</t>
  </si>
  <si>
    <t>Number of Students Per Supervisor</t>
  </si>
  <si>
    <t>The following table displays the course content categories and their AU (Accreditation Unit) percentages</t>
  </si>
  <si>
    <t>*At least one element must be selected for categories that identify AUs</t>
  </si>
  <si>
    <t>A1. A knowledge base for engineering</t>
  </si>
  <si>
    <t>A2. Problem analysis</t>
  </si>
  <si>
    <t>A3. Investigation</t>
  </si>
  <si>
    <t>A4. Design</t>
  </si>
  <si>
    <t>A5. Use of engineering tools</t>
  </si>
  <si>
    <t>A6. Individual and team work</t>
  </si>
  <si>
    <t>Instruction Level</t>
  </si>
  <si>
    <t>I (Introduced)</t>
  </si>
  <si>
    <t>D (Developed)</t>
  </si>
  <si>
    <t>A (Applied)</t>
  </si>
  <si>
    <t>Learning Outcomes Start</t>
  </si>
  <si>
    <t>LO Mapping Table End</t>
  </si>
  <si>
    <t>LO Mapping Table Start</t>
  </si>
  <si>
    <t>Timetable Start</t>
  </si>
  <si>
    <t>Timetable End</t>
  </si>
  <si>
    <t>Course Coordinator Start</t>
  </si>
  <si>
    <t>Course Coordinator End</t>
  </si>
  <si>
    <t>Other Instructors End</t>
  </si>
  <si>
    <t>TA End</t>
  </si>
  <si>
    <t>Grade Components Start</t>
  </si>
  <si>
    <t>Grade Components End</t>
  </si>
  <si>
    <t>Textbook Start</t>
  </si>
  <si>
    <t>Textbook End</t>
  </si>
  <si>
    <t>Course Content Categories</t>
  </si>
  <si>
    <t>Course Section Information</t>
  </si>
  <si>
    <t>Ignore this table if the course does not have a laboratory section</t>
  </si>
  <si>
    <t>Full</t>
  </si>
  <si>
    <t>Assoc</t>
  </si>
  <si>
    <t>Asst</t>
  </si>
  <si>
    <t>Emer</t>
  </si>
  <si>
    <t>Adj</t>
  </si>
  <si>
    <t>Sr Lec</t>
  </si>
  <si>
    <t>Jr Lec</t>
  </si>
  <si>
    <t>Sess</t>
  </si>
  <si>
    <t>DPhil</t>
  </si>
  <si>
    <t>DSc</t>
  </si>
  <si>
    <t>PhD</t>
  </si>
  <si>
    <t>MPhil</t>
  </si>
  <si>
    <t>MSc</t>
  </si>
  <si>
    <t>MEng</t>
  </si>
  <si>
    <t>MA</t>
  </si>
  <si>
    <t>BSc</t>
  </si>
  <si>
    <t>BEng</t>
  </si>
  <si>
    <t>BA</t>
  </si>
  <si>
    <t>UofA</t>
  </si>
  <si>
    <t>BCIT</t>
  </si>
  <si>
    <t>UofC</t>
  </si>
  <si>
    <t>Carleton</t>
  </si>
  <si>
    <t>Concordia</t>
  </si>
  <si>
    <t>Conestoga</t>
  </si>
  <si>
    <t>Dalhousie</t>
  </si>
  <si>
    <t>ETS</t>
  </si>
  <si>
    <t>UofG</t>
  </si>
  <si>
    <t>Lakehead</t>
  </si>
  <si>
    <t>Laurentian</t>
  </si>
  <si>
    <t>Laval</t>
  </si>
  <si>
    <t>UofM</t>
  </si>
  <si>
    <t>McGill</t>
  </si>
  <si>
    <t>McMaster</t>
  </si>
  <si>
    <t>Memorial</t>
  </si>
  <si>
    <t>UNB</t>
  </si>
  <si>
    <t>UNBC</t>
  </si>
  <si>
    <t>NSTC</t>
  </si>
  <si>
    <t>TUNS</t>
  </si>
  <si>
    <t>UOIT</t>
  </si>
  <si>
    <t>UOttawa</t>
  </si>
  <si>
    <t>Polytechnique</t>
  </si>
  <si>
    <t>Queens</t>
  </si>
  <si>
    <t>UofR</t>
  </si>
  <si>
    <t>RMC</t>
  </si>
  <si>
    <t>RPI</t>
  </si>
  <si>
    <t>RPU</t>
  </si>
  <si>
    <t>Ryerson</t>
  </si>
  <si>
    <t>UofS</t>
  </si>
  <si>
    <t>Sherbrooke</t>
  </si>
  <si>
    <t>SFU</t>
  </si>
  <si>
    <t>SGW</t>
  </si>
  <si>
    <t>UofT</t>
  </si>
  <si>
    <t>UVic</t>
  </si>
  <si>
    <t>Western</t>
  </si>
  <si>
    <t>Other (specify)</t>
  </si>
  <si>
    <t>Canada</t>
  </si>
  <si>
    <t>United States</t>
  </si>
  <si>
    <t>United Kingdom</t>
  </si>
  <si>
    <t>Argentina</t>
  </si>
  <si>
    <t>Australia</t>
  </si>
  <si>
    <t>Austria</t>
  </si>
  <si>
    <t>Bangladesh</t>
  </si>
  <si>
    <t>Belgium</t>
  </si>
  <si>
    <t>Bolivia</t>
  </si>
  <si>
    <t>Brazil</t>
  </si>
  <si>
    <t>Bulgaria</t>
  </si>
  <si>
    <t>Chile</t>
  </si>
  <si>
    <t>China</t>
  </si>
  <si>
    <t>Colombia</t>
  </si>
  <si>
    <t>Costa Rica</t>
  </si>
  <si>
    <t>Croatia</t>
  </si>
  <si>
    <t>Czech Republic</t>
  </si>
  <si>
    <t>Denmark</t>
  </si>
  <si>
    <t>Ecuador</t>
  </si>
  <si>
    <t>Estonia</t>
  </si>
  <si>
    <t>Finland</t>
  </si>
  <si>
    <t>France</t>
  </si>
  <si>
    <t>Germany</t>
  </si>
  <si>
    <t>Greece</t>
  </si>
  <si>
    <t>Guyana</t>
  </si>
  <si>
    <t>Hong Kong</t>
  </si>
  <si>
    <t>Hungary</t>
  </si>
  <si>
    <t>India</t>
  </si>
  <si>
    <t>Ireland</t>
  </si>
  <si>
    <t>Italy</t>
  </si>
  <si>
    <t>Japan</t>
  </si>
  <si>
    <t>Latvia</t>
  </si>
  <si>
    <t>Lithuania</t>
  </si>
  <si>
    <t>Luxembourg</t>
  </si>
  <si>
    <t>Malaysia</t>
  </si>
  <si>
    <t>Malta</t>
  </si>
  <si>
    <t>Netherlands</t>
  </si>
  <si>
    <t xml:space="preserve">New Zealand </t>
  </si>
  <si>
    <t>Norway</t>
  </si>
  <si>
    <t>Pakistan</t>
  </si>
  <si>
    <t>Paraguay</t>
  </si>
  <si>
    <t>Peru</t>
  </si>
  <si>
    <t>Philippines</t>
  </si>
  <si>
    <t>Poland</t>
  </si>
  <si>
    <t>Portugal</t>
  </si>
  <si>
    <t>Romania</t>
  </si>
  <si>
    <t>Russia</t>
  </si>
  <si>
    <t xml:space="preserve">Singapore </t>
  </si>
  <si>
    <t>Slovakia</t>
  </si>
  <si>
    <t>Slovenia</t>
  </si>
  <si>
    <t>South Africa</t>
  </si>
  <si>
    <t>South Korea</t>
  </si>
  <si>
    <t>Spain</t>
  </si>
  <si>
    <t>Sri Lanka</t>
  </si>
  <si>
    <t>Suriname</t>
  </si>
  <si>
    <t>Sweden</t>
  </si>
  <si>
    <t>Taiwan</t>
  </si>
  <si>
    <t xml:space="preserve">Turkey </t>
  </si>
  <si>
    <t>PEng</t>
  </si>
  <si>
    <t>EIT</t>
  </si>
  <si>
    <t>ing</t>
  </si>
  <si>
    <t>ingJr</t>
  </si>
  <si>
    <t>None</t>
  </si>
  <si>
    <t>APEGBC</t>
  </si>
  <si>
    <t>APEGA</t>
  </si>
  <si>
    <t>APEGM</t>
  </si>
  <si>
    <t>APEGNB</t>
  </si>
  <si>
    <t>APEGS</t>
  </si>
  <si>
    <t>EngineersNS</t>
  </si>
  <si>
    <t>EngineersPEI</t>
  </si>
  <si>
    <t>APEY</t>
  </si>
  <si>
    <t>NAPEG</t>
  </si>
  <si>
    <t>OIQ</t>
  </si>
  <si>
    <t>PEGNL</t>
  </si>
  <si>
    <t>PEO</t>
  </si>
  <si>
    <t>&gt;10</t>
  </si>
  <si>
    <t>Government</t>
  </si>
  <si>
    <t>Industry</t>
  </si>
  <si>
    <t>Consulting</t>
  </si>
  <si>
    <t>Research</t>
  </si>
  <si>
    <t>Instructor Information Sheet Validation</t>
  </si>
  <si>
    <t>Accreditation Tables Sheet Validation</t>
  </si>
  <si>
    <t>Course Outline Sheet Validation</t>
  </si>
  <si>
    <t>Chemical</t>
  </si>
  <si>
    <t>Civil</t>
  </si>
  <si>
    <t>Electrical</t>
  </si>
  <si>
    <t>Energy</t>
  </si>
  <si>
    <t>Geomatics</t>
  </si>
  <si>
    <t>Mechanical</t>
  </si>
  <si>
    <t>Oil &amp; Gas</t>
  </si>
  <si>
    <t>Software</t>
  </si>
  <si>
    <t>Family Name</t>
  </si>
  <si>
    <t>First Name</t>
  </si>
  <si>
    <t>End of File</t>
  </si>
  <si>
    <t>Lab Exp Start</t>
  </si>
  <si>
    <t>Lab Exp End</t>
  </si>
  <si>
    <t>Course Section Start</t>
  </si>
  <si>
    <t>Course Section End</t>
  </si>
  <si>
    <t>Course Content Elements</t>
  </si>
  <si>
    <t>Learning Outcome</t>
  </si>
  <si>
    <t>Academic Credit</t>
  </si>
  <si>
    <t>Calendar Reference</t>
  </si>
  <si>
    <t>2. Learning Outcomes</t>
  </si>
  <si>
    <t>This column and anything to the right will not appear on the generated PDF.</t>
  </si>
  <si>
    <t>Exam Calculator Use</t>
  </si>
  <si>
    <t>Final Grade Notes</t>
  </si>
  <si>
    <t>Course Description</t>
  </si>
  <si>
    <t>Course Calendar Hours</t>
  </si>
  <si>
    <t>Learning Outcomes End</t>
  </si>
  <si>
    <t>The following textbook(s) is required for this course:</t>
  </si>
  <si>
    <t>The following textbook(s) is recommended for this course:</t>
  </si>
  <si>
    <t>Recommended Textbook Start</t>
  </si>
  <si>
    <t>Recommended Textbook End</t>
  </si>
  <si>
    <t>Time</t>
  </si>
  <si>
    <t>Day(s) of the Week</t>
  </si>
  <si>
    <t>Letter Grade</t>
  </si>
  <si>
    <t>Total Mark (T)</t>
  </si>
  <si>
    <t>A+</t>
  </si>
  <si>
    <t>A</t>
  </si>
  <si>
    <t>A-</t>
  </si>
  <si>
    <t>B+</t>
  </si>
  <si>
    <t>B</t>
  </si>
  <si>
    <t>≤  T  &lt;</t>
  </si>
  <si>
    <t>B-</t>
  </si>
  <si>
    <t>C+</t>
  </si>
  <si>
    <t>C</t>
  </si>
  <si>
    <t>C-</t>
  </si>
  <si>
    <t>D+</t>
  </si>
  <si>
    <t>D</t>
  </si>
  <si>
    <t>F</t>
  </si>
  <si>
    <t xml:space="preserve">  T  &lt;</t>
  </si>
  <si>
    <t xml:space="preserve">  T  ≥</t>
  </si>
  <si>
    <t>Grading Scale Start</t>
  </si>
  <si>
    <t>The section below should not be changed.</t>
  </si>
  <si>
    <t>Additional sections may be added to the end of the course outline as required or desired. Feel free to modify rows as required here.
Note: this section will not be automatically prepopulated based on additional course information entered in the previous year.</t>
  </si>
  <si>
    <t>Provide the rules concerning the type of calculator that is permitted for your course examinations, then readjust the row height as necessary.</t>
  </si>
  <si>
    <t>Ensure that the number of sections and hours per week are updated. You may leave the "Number of Students Per Supervisor" column for lecture blank.</t>
  </si>
  <si>
    <t>Enter your course's learning outcomes below and resize the row heights as necessary to display all text. Once you have entered your learning outcomes, complete the graduate attribute mapping table directly below the list of learning outcomes. Ensure that the number in the "Learning Outcome" column corresponds to the number in your list of learning outcomes.</t>
  </si>
  <si>
    <t>Enter the grade components for the course and indicate which learning outcomes (with referencing to the number in section 2) will be assessed in which component(s).
In the "Notes:" below, provide information on course components that must be passed in order to pass the course, then resize the row height as necessary.</t>
  </si>
  <si>
    <t>Enter the contact information for all course instructors and teaching assistants below. Resize the rows to ensure that all text is displayed.</t>
  </si>
  <si>
    <t>Provide a list of all course exams, authorized materials, and whenever possible, timetabling information. Resize the row height as necessary. (e.g., "1. Midterm 1.5 hours duration on Monday, October 27, 2016 in ENE 239 (closed book, closed notes)")
Tip: use "alt + enter" to insert a new line.</t>
  </si>
  <si>
    <t>If necessary, resize the course description row to display all text.</t>
  </si>
  <si>
    <t>Grading Scale End</t>
  </si>
  <si>
    <t>Course Content Category</t>
  </si>
  <si>
    <t>Content Element</t>
  </si>
  <si>
    <t>*Number of timetabled lab sessions students are required to attend</t>
  </si>
  <si>
    <r>
      <rPr>
        <u/>
        <sz val="11"/>
        <color theme="1"/>
        <rFont val="Arial"/>
        <family val="2"/>
      </rPr>
      <t>Advising Syllabus</t>
    </r>
    <r>
      <rPr>
        <sz val="11"/>
        <color theme="1"/>
        <rFont val="Arial"/>
        <family val="2"/>
      </rPr>
      <t xml:space="preserve">
All Schulich School of Engineering students and instructors have a responsibility to familiarize themselves with the policies described in the Schulich School of Engineering Advising Syllabus available at:
http://schulich.ucalgary.ca/undergraduate/advising 
</t>
    </r>
    <r>
      <rPr>
        <u/>
        <sz val="11"/>
        <color theme="1"/>
        <rFont val="Arial"/>
        <family val="2"/>
      </rPr>
      <t/>
    </r>
  </si>
  <si>
    <r>
      <rPr>
        <u/>
        <sz val="11"/>
        <color theme="1"/>
        <rFont val="Arial"/>
        <family val="2"/>
      </rPr>
      <t>Emergency Evacuation/Assembly Points</t>
    </r>
    <r>
      <rPr>
        <sz val="11"/>
        <color theme="1"/>
        <rFont val="Arial"/>
        <family val="2"/>
      </rPr>
      <t xml:space="preserve">
In the event of an alarm sounding, all classrooms and labs must be evacuated immediately.  Please respond to alarms promptly by leaving the building by the closest available exit.  Faculty and students must remain outside the building until the 'all clear' has been given by a Fire Marshall. In case of emergency, call 220-5333.
Assembly Points have been identified across campus. These areas have been selected as they are large enough to hold a significant number of people and will provide an evacuated population access to washroom facilities and protection from the elements. More information on assembly points can be found at 
http://www.ucalgary.ca/emergencyplan/assemblypoints.</t>
    </r>
  </si>
  <si>
    <r>
      <rPr>
        <u/>
        <sz val="11"/>
        <color rgb="FF000000"/>
        <rFont val="Arial"/>
        <family val="2"/>
      </rPr>
      <t>WELLNESS AND MENTAL HEALTH RESOURCES</t>
    </r>
    <r>
      <rPr>
        <sz val="11"/>
        <color rgb="FF000000"/>
        <rFont val="Arial"/>
        <family val="2"/>
      </rPr>
      <t xml:space="preserve">
The University of Calgary recognizes the pivotal role that student mental health plays in physical health, social connectedness and academic success, and aspires to create a caring and supportive campus community where individuals can freely talk about mental health and receive supports when needed. We encourage you to explore the mental health resources available throughout the university community, such as counselling, self-help resources, peer support or skills-building available through the SU Wellness Centre (Room 370, MacEwan Student Centre, https://www.ucalgary.ca/wellnesscentre/services/mental-health-services) and the Campus Mental Health Strategy website (http://www.ucalgary.ca/mentalhealth/).</t>
    </r>
  </si>
  <si>
    <t xml:space="preserve">End of File (This row and anything below will not appear on the generated PDF)
Click the button below to save the file as (generated from cells B10 and H2)
Ex. ENGG233-FALL2016-CourseOutline.pdf
in this file's current directory
*Caution: overwrites file with the same name
</t>
  </si>
  <si>
    <t>Update the timetable information below. In the "Day(s) of the Week" column, use M,T,W,R,F,S,U as the codes for Monday - Sunday (e.g., MWF). In the "Time" column, specify the time range in 24 hour MDT (Calgary time) format (e.g., 13:00-13:50).</t>
  </si>
  <si>
    <t>Enter any required or recommended textbooks in the appropriate tables below.
Please do not modify or rearrange the textbook table labels.</t>
  </si>
  <si>
    <t>If you wish to customize page breaks,</t>
  </si>
  <si>
    <t>hide the blue rows by pressing the button above,</t>
  </si>
  <si>
    <t>then go into page break view and set page breaks</t>
  </si>
  <si>
    <t>v2</t>
  </si>
  <si>
    <t>WINTER 2018</t>
  </si>
  <si>
    <t>MM</t>
  </si>
  <si>
    <t>ENSF 409</t>
  </si>
  <si>
    <t xml:space="preserve"> Principles of Software Development</t>
  </si>
  <si>
    <t>A survey of software design and development topics for Engineering students. Topics include: key features of an object-oriented programming language, especially inheritance and polymorphism; elements of object-oriented design; programming and application of common data structures; strategies and tools for testing and debugging.</t>
  </si>
  <si>
    <t>http://www.ucalgary.ca/pubs/calendar/current/software-engineering-for-engineers.html#38252</t>
  </si>
  <si>
    <t>Mohammad</t>
  </si>
  <si>
    <t>Moshirpour</t>
  </si>
  <si>
    <t>403-220-6864</t>
  </si>
  <si>
    <t>ICT 345</t>
  </si>
  <si>
    <t>mmoshirp@ucalgary.ca</t>
  </si>
  <si>
    <t>1 - 7</t>
  </si>
  <si>
    <t>Calculators are not allowed during examinations.</t>
  </si>
  <si>
    <t>Notes:
a) You must either achieve at least 50% on the final exam or achieve at least 50% on the weighted average of the midterm and final exam. You must also achieve an average of at least 50% on the lab section of the course. If you do not satisfy these caveats, you will not receive a passing grade.
b) Circumstances beyond one’s control (e.g. sickness, etc.), leading to missing lab session and/or delays in assignment submissions should be discussed with the course instructor as soon as possible. Proper documentation must be provided. 
c) Conversion from a score out of 100 to a letter grade will be done using the conversion chart shown below. This grading scale can only be changed during the term if the grades will not be lowered.</t>
  </si>
  <si>
    <t>L01</t>
  </si>
  <si>
    <t xml:space="preserve">TuTh </t>
  </si>
  <si>
    <t>8:00AM - 9:15AM</t>
  </si>
  <si>
    <t>ENE 241</t>
  </si>
  <si>
    <t>B01</t>
  </si>
  <si>
    <t>ICT319/320</t>
  </si>
  <si>
    <t>2:00PM - 3:50PM</t>
  </si>
  <si>
    <t xml:space="preserve">Fr </t>
  </si>
  <si>
    <t>Java in a Nutshell, 6th Edition</t>
  </si>
  <si>
    <t>Benjamin J Evans; David Flanagan</t>
  </si>
  <si>
    <t>O'Reilly Media, Inc.</t>
  </si>
  <si>
    <t>6th Edition, 2014</t>
  </si>
  <si>
    <t>The C++ Programming Language, Fourth Edition</t>
  </si>
  <si>
    <t>Bjarne Stroustrup</t>
  </si>
  <si>
    <t>Addison-Wesley Professional</t>
  </si>
  <si>
    <t>Fourth Edition, 2013</t>
  </si>
  <si>
    <t>Course Instructor</t>
  </si>
  <si>
    <t>Have a deep understanding, and practical knowledge of object oriented analysis, design, and development.</t>
  </si>
  <si>
    <t>Design and develop software programs in Java.</t>
  </si>
  <si>
    <t>Define the concepts of object-oriented design, such as inheritance and polymorphism.</t>
  </si>
  <si>
    <t>Apply miscellaneous programming concepts in Java, such as cloning, generic types, multi-threading, event-based programming, etc.</t>
  </si>
  <si>
    <t>Design and develop client-server applications.</t>
  </si>
  <si>
    <t>Use databases to store and retrieve information.</t>
  </si>
  <si>
    <t>Use different design and development utilities and tools.</t>
  </si>
  <si>
    <t xml:space="preserve">The following examinations will be held in this course:
    1. There will be a midterm and a final examination. 
    2.  The time and location of the midterm will be announced in class.
All examinations will be closed book  and closed notes.
Note: The timetable for Registrar Scheduled exams can be found at the University's Enrolment Services website, http://www.ucalgary.ca/registrar/. </t>
  </si>
  <si>
    <t xml:space="preserve">Don </t>
  </si>
  <si>
    <t>Patrick</t>
  </si>
  <si>
    <t>John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</si>
</sst>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1" x14ac:knownFonts="1">
    <font>
      <sz val="11"/>
      <color theme="1"/>
      <name val="Calibri"/>
      <family val="2"/>
      <scheme val="minor"/>
    </font>
    <font>
      <sz val="9"/>
      <name val="Trebuchet MS"/>
      <family val="2"/>
    </font>
    <font>
      <sz val="9"/>
      <color rgb="FFFF0000"/>
      <name val="Trebuchet MS"/>
      <family val="2"/>
    </font>
    <font>
      <u/>
      <sz val="10"/>
      <color theme="10"/>
      <name val="Arial"/>
      <family val="2"/>
    </font>
    <font>
      <sz val="11"/>
      <color theme="1"/>
      <name val="Arial"/>
      <family val="2"/>
    </font>
    <font>
      <b/>
      <sz val="12"/>
      <color theme="1"/>
      <name val="Arial"/>
      <family val="2"/>
    </font>
    <font>
      <b/>
      <sz val="11"/>
      <color theme="0"/>
      <name val="Arial"/>
      <family val="2"/>
    </font>
    <font>
      <u/>
      <sz val="11"/>
      <color theme="1"/>
      <name val="Arial"/>
      <family val="2"/>
    </font>
    <font>
      <b/>
      <sz val="11"/>
      <color theme="1"/>
      <name val="Arial"/>
      <family val="2"/>
    </font>
    <font>
      <sz val="11"/>
      <name val="Arial"/>
      <family val="2"/>
    </font>
    <font>
      <sz val="11"/>
      <color rgb="FF006100"/>
      <name val="Calibri"/>
      <family val="2"/>
      <scheme val="minor"/>
    </font>
    <font>
      <b/>
      <sz val="8"/>
      <color theme="1"/>
      <name val="Arial"/>
      <family val="2"/>
    </font>
    <font>
      <b/>
      <sz val="10"/>
      <color theme="1"/>
      <name val="Arial"/>
      <family val="2"/>
    </font>
    <font>
      <b/>
      <sz val="9"/>
      <color theme="1"/>
      <name val="Arial"/>
      <family val="2"/>
    </font>
    <font>
      <sz val="11"/>
      <color rgb="FFFF0000"/>
      <name val="Arial"/>
      <family val="2"/>
    </font>
    <font>
      <sz val="10"/>
      <color rgb="FFFF0000"/>
      <name val="Arial"/>
      <family val="2"/>
    </font>
    <font>
      <sz val="11"/>
      <color rgb="FFFF0000"/>
      <name val="Calibri"/>
      <family val="2"/>
      <scheme val="minor"/>
    </font>
    <font>
      <sz val="9"/>
      <color rgb="FF000000"/>
      <name val="Verdana"/>
      <family val="2"/>
    </font>
    <font>
      <u/>
      <sz val="10"/>
      <color theme="1"/>
      <name val="Arial"/>
      <family val="2"/>
    </font>
    <font>
      <sz val="9"/>
      <color indexed="81"/>
      <name val="Tahoma"/>
      <family val="2"/>
    </font>
    <font>
      <b/>
      <sz val="9"/>
      <color rgb="FFFF0000"/>
      <name val="Trebuchet MS"/>
      <family val="2"/>
    </font>
    <font>
      <b/>
      <sz val="9"/>
      <color indexed="81"/>
      <name val="Tahoma"/>
      <family val="2"/>
    </font>
    <font>
      <sz val="10"/>
      <color theme="1"/>
      <name val="Arial"/>
      <family val="2"/>
    </font>
    <font>
      <b/>
      <sz val="10"/>
      <color indexed="81"/>
      <name val="Tahoma"/>
      <family val="2"/>
    </font>
    <font>
      <sz val="11"/>
      <color rgb="FF000000"/>
      <name val="Calibri"/>
      <family val="2"/>
    </font>
    <font>
      <sz val="11"/>
      <color rgb="FF006100"/>
      <name val="Arial"/>
      <family val="2"/>
    </font>
    <font>
      <u/>
      <sz val="11"/>
      <color rgb="FF000000"/>
      <name val="Arial"/>
      <family val="2"/>
    </font>
    <font>
      <sz val="11"/>
      <color rgb="FF212121"/>
      <name val="Arial"/>
      <family val="2"/>
    </font>
    <font>
      <sz val="11"/>
      <color rgb="FF000000"/>
      <name val="Arial"/>
      <family val="2"/>
    </font>
    <font>
      <sz val="10"/>
      <color theme="1"/>
      <name val="Freestyle Script"/>
      <family val="4"/>
    </font>
    <font>
      <u/>
      <sz val="11"/>
      <color theme="10"/>
      <name val="Arial"/>
      <family val="2"/>
    </font>
  </fonts>
  <fills count="9">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rgb="FFC6EFCE"/>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8" tint="0.79998168889431442"/>
        <bgColor indexed="64"/>
      </patternFill>
    </fill>
  </fills>
  <borders count="17">
    <border>
      <left/>
      <right/>
      <top/>
      <bottom/>
      <diagonal/>
    </border>
    <border>
      <left style="thin">
        <color auto="1"/>
      </left>
      <right style="thin">
        <color auto="1"/>
      </right>
      <top style="thin">
        <color indexed="64"/>
      </top>
      <bottom style="thin">
        <color indexed="64"/>
      </bottom>
      <diagonal/>
    </border>
    <border>
      <left style="thin">
        <color auto="1"/>
      </left>
      <right/>
      <top style="thin">
        <color indexed="64"/>
      </top>
      <bottom style="thin">
        <color indexed="64"/>
      </bottom>
      <diagonal/>
    </border>
    <border>
      <left/>
      <right style="thin">
        <color auto="1"/>
      </right>
      <top style="thin">
        <color indexed="64"/>
      </top>
      <bottom style="thin">
        <color indexed="64"/>
      </bottom>
      <diagonal/>
    </border>
    <border>
      <left style="thin">
        <color auto="1"/>
      </left>
      <right/>
      <top/>
      <bottom/>
      <diagonal/>
    </border>
    <border>
      <left style="thin">
        <color auto="1"/>
      </left>
      <right/>
      <top style="thin">
        <color indexed="64"/>
      </top>
      <bottom/>
      <diagonal/>
    </border>
    <border>
      <left/>
      <right style="thin">
        <color auto="1"/>
      </right>
      <top style="thin">
        <color indexed="64"/>
      </top>
      <bottom/>
      <diagonal/>
    </border>
    <border>
      <left/>
      <right style="thin">
        <color auto="1"/>
      </right>
      <top/>
      <bottom/>
      <diagonal/>
    </border>
    <border>
      <left style="thin">
        <color auto="1"/>
      </left>
      <right/>
      <top/>
      <bottom style="thin">
        <color indexed="64"/>
      </bottom>
      <diagonal/>
    </border>
    <border>
      <left/>
      <right style="thin">
        <color auto="1"/>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auto="1"/>
      </left>
      <right style="thin">
        <color auto="1"/>
      </right>
      <top style="thin">
        <color indexed="64"/>
      </top>
      <bottom/>
      <diagonal/>
    </border>
    <border diagonalUp="1" diagonalDown="1">
      <left style="thin">
        <color auto="1"/>
      </left>
      <right style="thin">
        <color auto="1"/>
      </right>
      <top style="thin">
        <color indexed="64"/>
      </top>
      <bottom style="thin">
        <color indexed="64"/>
      </bottom>
      <diagonal style="thin">
        <color auto="1"/>
      </diagonal>
    </border>
    <border diagonalUp="1" diagonalDown="1">
      <left style="thin">
        <color auto="1"/>
      </left>
      <right/>
      <top style="thin">
        <color indexed="64"/>
      </top>
      <bottom style="thin">
        <color indexed="64"/>
      </bottom>
      <diagonal style="thin">
        <color auto="1"/>
      </diagonal>
    </border>
    <border diagonalUp="1" diagonalDown="1">
      <left/>
      <right style="thin">
        <color auto="1"/>
      </right>
      <top style="thin">
        <color indexed="64"/>
      </top>
      <bottom style="thin">
        <color indexed="64"/>
      </bottom>
      <diagonal style="thin">
        <color auto="1"/>
      </diagonal>
    </border>
  </borders>
  <cellStyleXfs count="5">
    <xf numFmtId="0" fontId="0" fillId="0" borderId="0"/>
    <xf numFmtId="0" fontId="3" fillId="0" borderId="0" applyNumberFormat="0" applyFill="0" applyBorder="0" applyAlignment="0" applyProtection="0"/>
    <xf numFmtId="0" fontId="10" fillId="4" borderId="0" applyNumberFormat="0" applyBorder="0" applyAlignment="0" applyProtection="0"/>
    <xf numFmtId="0" fontId="4" fillId="5" borderId="0" applyNumberFormat="0" applyFont="0" applyBorder="0" applyAlignment="0" applyProtection="0">
      <alignment vertical="top" wrapText="1"/>
    </xf>
    <xf numFmtId="0" fontId="4" fillId="0" borderId="0" applyNumberFormat="0" applyFont="0" applyBorder="0" applyAlignment="0" applyProtection="0">
      <alignment horizontal="left" vertical="top" wrapText="1"/>
    </xf>
  </cellStyleXfs>
  <cellXfs count="190">
    <xf numFmtId="0" fontId="0" fillId="0" borderId="0" xfId="0"/>
    <xf numFmtId="0" fontId="1" fillId="0" borderId="0" xfId="0" applyFont="1" applyProtection="1"/>
    <xf numFmtId="0" fontId="2" fillId="0" borderId="0" xfId="0" applyFont="1" applyFill="1" applyAlignment="1" applyProtection="1">
      <alignment horizontal="left" vertical="center"/>
    </xf>
    <xf numFmtId="0" fontId="2" fillId="0" borderId="0" xfId="0" applyFont="1" applyProtection="1"/>
    <xf numFmtId="0" fontId="2" fillId="0" borderId="0" xfId="0" applyFont="1" applyAlignment="1" applyProtection="1">
      <alignment horizontal="left" vertical="center"/>
    </xf>
    <xf numFmtId="0" fontId="4" fillId="0" borderId="0" xfId="0" applyFont="1"/>
    <xf numFmtId="0" fontId="4" fillId="0" borderId="0" xfId="0" applyFont="1" applyAlignment="1"/>
    <xf numFmtId="0" fontId="8" fillId="0" borderId="0" xfId="0" applyFont="1" applyBorder="1" applyAlignment="1">
      <alignment horizontal="center"/>
    </xf>
    <xf numFmtId="0" fontId="2" fillId="0" borderId="0" xfId="0" applyFont="1" applyFill="1" applyAlignment="1" applyProtection="1">
      <alignment horizontal="left"/>
    </xf>
    <xf numFmtId="0" fontId="14" fillId="0" borderId="0" xfId="0" applyFont="1"/>
    <xf numFmtId="0" fontId="15" fillId="0" borderId="0" xfId="0" applyFont="1" applyProtection="1"/>
    <xf numFmtId="0" fontId="15" fillId="0" borderId="0" xfId="0" applyFont="1"/>
    <xf numFmtId="0" fontId="15" fillId="0" borderId="0" xfId="0" applyFont="1" applyFill="1" applyAlignment="1" applyProtection="1">
      <alignment horizontal="left" vertical="center"/>
    </xf>
    <xf numFmtId="0" fontId="15" fillId="0" borderId="0" xfId="0" applyFont="1" applyFill="1" applyBorder="1" applyAlignment="1" applyProtection="1">
      <alignment horizontal="left" vertical="center"/>
    </xf>
    <xf numFmtId="0" fontId="15" fillId="0" borderId="0" xfId="0" applyFont="1" applyFill="1" applyAlignment="1" applyProtection="1">
      <alignment horizontal="left"/>
    </xf>
    <xf numFmtId="0" fontId="14" fillId="0" borderId="0" xfId="0" quotePrefix="1" applyFont="1" applyBorder="1" applyAlignment="1">
      <alignment horizontal="left"/>
    </xf>
    <xf numFmtId="0" fontId="16" fillId="0" borderId="0" xfId="0" applyFont="1"/>
    <xf numFmtId="0" fontId="14" fillId="0" borderId="0" xfId="0" quotePrefix="1" applyFont="1" applyBorder="1" applyAlignment="1"/>
    <xf numFmtId="0" fontId="14" fillId="0" borderId="0" xfId="0" quotePrefix="1" applyFont="1" applyFill="1" applyBorder="1" applyAlignment="1"/>
    <xf numFmtId="0" fontId="14" fillId="0" borderId="0" xfId="0" applyFont="1" applyBorder="1"/>
    <xf numFmtId="0" fontId="14" fillId="0" borderId="0" xfId="0" applyFont="1" applyFill="1" applyBorder="1"/>
    <xf numFmtId="0" fontId="17" fillId="0" borderId="0" xfId="0" applyFont="1" applyAlignment="1">
      <alignment wrapText="1"/>
    </xf>
    <xf numFmtId="0" fontId="0" fillId="0" borderId="0" xfId="0" applyAlignment="1">
      <alignment wrapText="1"/>
    </xf>
    <xf numFmtId="0" fontId="2" fillId="0" borderId="0" xfId="0" applyFont="1" applyFill="1" applyAlignment="1">
      <alignment horizontal="center" vertical="center"/>
    </xf>
    <xf numFmtId="0" fontId="2" fillId="0" borderId="0" xfId="0" applyFont="1" applyAlignment="1">
      <alignment horizontal="left"/>
    </xf>
    <xf numFmtId="0" fontId="2" fillId="0" borderId="0" xfId="0" applyFont="1" applyFill="1" applyAlignment="1">
      <alignment horizontal="left"/>
    </xf>
    <xf numFmtId="0" fontId="20" fillId="0" borderId="0" xfId="0" applyFont="1" applyFill="1" applyBorder="1" applyAlignment="1">
      <alignment horizontal="left" vertical="center"/>
    </xf>
    <xf numFmtId="0" fontId="2" fillId="0" borderId="0" xfId="0" applyFont="1" applyFill="1" applyAlignment="1">
      <alignment horizontal="left" vertical="center"/>
    </xf>
    <xf numFmtId="49" fontId="2" fillId="0" borderId="0" xfId="0" applyNumberFormat="1" applyFont="1" applyAlignment="1"/>
    <xf numFmtId="0" fontId="2" fillId="0" borderId="0" xfId="0" applyFont="1" applyAlignment="1">
      <alignment vertical="center"/>
    </xf>
    <xf numFmtId="0" fontId="2" fillId="0" borderId="0" xfId="0" applyFont="1" applyAlignment="1"/>
    <xf numFmtId="0" fontId="2" fillId="0" borderId="0" xfId="0" applyFont="1" applyAlignment="1">
      <alignment horizontal="center" vertical="center"/>
    </xf>
    <xf numFmtId="0" fontId="2" fillId="0" borderId="0" xfId="0" applyFont="1"/>
    <xf numFmtId="0" fontId="2" fillId="0" borderId="0" xfId="0" applyFont="1" applyAlignment="1">
      <alignment wrapText="1"/>
    </xf>
    <xf numFmtId="0" fontId="2" fillId="0" borderId="0" xfId="0" applyFont="1" applyFill="1" applyBorder="1" applyAlignment="1">
      <alignment horizontal="center" vertical="center"/>
    </xf>
    <xf numFmtId="0" fontId="10" fillId="4" borderId="0" xfId="2" applyAlignment="1">
      <alignment vertical="top" wrapText="1"/>
    </xf>
    <xf numFmtId="0" fontId="16" fillId="0" borderId="0" xfId="0" applyFont="1" applyAlignment="1">
      <alignment vertical="top"/>
    </xf>
    <xf numFmtId="0" fontId="16" fillId="5" borderId="0" xfId="0" applyFont="1" applyFill="1" applyAlignment="1">
      <alignment vertical="top"/>
    </xf>
    <xf numFmtId="0" fontId="14" fillId="0" borderId="0" xfId="0" applyFont="1" applyAlignment="1">
      <alignment vertical="top"/>
    </xf>
    <xf numFmtId="0" fontId="25" fillId="4" borderId="0" xfId="2" applyFont="1" applyAlignment="1">
      <alignment vertical="top" wrapText="1"/>
    </xf>
    <xf numFmtId="0" fontId="4" fillId="0" borderId="10" xfId="0" applyFont="1" applyBorder="1" applyAlignment="1">
      <alignment horizontal="center" vertical="top" wrapText="1"/>
    </xf>
    <xf numFmtId="0" fontId="4" fillId="0" borderId="11" xfId="0" applyFont="1" applyBorder="1" applyAlignment="1">
      <alignment horizontal="center" vertical="top"/>
    </xf>
    <xf numFmtId="0" fontId="25" fillId="4" borderId="0" xfId="2" applyFont="1" applyAlignment="1">
      <alignment vertical="top"/>
    </xf>
    <xf numFmtId="0" fontId="25" fillId="4" borderId="0" xfId="2" applyFont="1" applyAlignment="1">
      <alignment horizontal="center" vertical="top" wrapText="1"/>
    </xf>
    <xf numFmtId="0" fontId="4" fillId="5" borderId="0" xfId="3" quotePrefix="1" applyFont="1" applyBorder="1" applyAlignment="1"/>
    <xf numFmtId="0" fontId="4" fillId="5" borderId="0" xfId="3" quotePrefix="1" applyFont="1" applyBorder="1" applyAlignment="1">
      <alignment horizontal="left"/>
    </xf>
    <xf numFmtId="0" fontId="4" fillId="5" borderId="0" xfId="3" applyFont="1" applyBorder="1" applyAlignment="1"/>
    <xf numFmtId="0" fontId="16" fillId="5" borderId="0" xfId="3" applyFont="1" applyAlignment="1"/>
    <xf numFmtId="0" fontId="8" fillId="5" borderId="0" xfId="3" applyFont="1" applyAlignment="1"/>
    <xf numFmtId="0" fontId="12" fillId="5" borderId="1" xfId="3" applyFont="1" applyBorder="1" applyAlignment="1"/>
    <xf numFmtId="0" fontId="10" fillId="4" borderId="0" xfId="2"/>
    <xf numFmtId="0" fontId="22" fillId="0" borderId="0" xfId="0" applyFont="1"/>
    <xf numFmtId="0" fontId="4" fillId="0" borderId="1" xfId="0" applyFont="1" applyBorder="1"/>
    <xf numFmtId="0" fontId="11" fillId="0" borderId="1" xfId="0" applyFont="1" applyBorder="1"/>
    <xf numFmtId="0" fontId="4" fillId="0" borderId="0" xfId="0" applyFont="1"/>
    <xf numFmtId="0" fontId="4" fillId="5" borderId="0" xfId="3" applyFont="1" applyAlignment="1"/>
    <xf numFmtId="0" fontId="4" fillId="0" borderId="0" xfId="0" applyFont="1" applyAlignment="1">
      <alignment horizontal="center" vertical="top"/>
    </xf>
    <xf numFmtId="0" fontId="4" fillId="0" borderId="0" xfId="0" applyFont="1"/>
    <xf numFmtId="0" fontId="4" fillId="0" borderId="0" xfId="0" applyFont="1" applyAlignment="1">
      <alignment horizontal="center" vertical="top"/>
    </xf>
    <xf numFmtId="0" fontId="4" fillId="0" borderId="0" xfId="0" applyFont="1"/>
    <xf numFmtId="0" fontId="29" fillId="0" borderId="1" xfId="0" applyFont="1" applyBorder="1"/>
    <xf numFmtId="0" fontId="4" fillId="0" borderId="0" xfId="0" applyFont="1"/>
    <xf numFmtId="0" fontId="14" fillId="0" borderId="0" xfId="0" applyFont="1"/>
    <xf numFmtId="0" fontId="10" fillId="4" borderId="0" xfId="2" applyAlignment="1">
      <alignment vertical="top" wrapText="1"/>
    </xf>
    <xf numFmtId="0" fontId="16" fillId="0" borderId="0" xfId="0" applyFont="1" applyAlignment="1">
      <alignment vertical="top"/>
    </xf>
    <xf numFmtId="0" fontId="25" fillId="4" borderId="0" xfId="2" applyFont="1" applyAlignment="1">
      <alignment vertical="top" wrapText="1"/>
    </xf>
    <xf numFmtId="0" fontId="10" fillId="4" borderId="0" xfId="2"/>
    <xf numFmtId="0" fontId="4" fillId="5" borderId="0" xfId="3" applyFont="1" applyBorder="1" applyAlignment="1">
      <alignment horizontal="left" vertical="top" wrapText="1"/>
    </xf>
    <xf numFmtId="0" fontId="4" fillId="0" borderId="0" xfId="0" applyFont="1" applyBorder="1" applyAlignment="1">
      <alignment horizontal="left" vertical="top" wrapText="1"/>
    </xf>
    <xf numFmtId="0" fontId="12" fillId="2" borderId="3" xfId="0" applyFont="1" applyFill="1" applyBorder="1" applyAlignment="1" applyProtection="1">
      <alignment vertical="top" wrapText="1"/>
      <protection locked="0"/>
    </xf>
    <xf numFmtId="0" fontId="12" fillId="2" borderId="1" xfId="0" applyFont="1" applyFill="1" applyBorder="1" applyAlignment="1" applyProtection="1">
      <alignment horizontal="center" vertical="top"/>
      <protection locked="0"/>
    </xf>
    <xf numFmtId="0" fontId="12" fillId="2" borderId="1" xfId="0" applyFont="1" applyFill="1" applyBorder="1" applyAlignment="1" applyProtection="1">
      <alignment vertical="top" wrapText="1"/>
      <protection locked="0"/>
    </xf>
    <xf numFmtId="0" fontId="4" fillId="0" borderId="1" xfId="0" applyFont="1" applyBorder="1" applyAlignment="1" applyProtection="1">
      <alignment horizontal="center" vertical="top" wrapText="1"/>
      <protection locked="0"/>
    </xf>
    <xf numFmtId="0" fontId="4" fillId="0" borderId="3" xfId="0" applyFont="1" applyBorder="1" applyAlignment="1" applyProtection="1">
      <alignment vertical="top"/>
      <protection locked="0"/>
    </xf>
    <xf numFmtId="0" fontId="4" fillId="0" borderId="1" xfId="0" applyFont="1" applyBorder="1" applyAlignment="1" applyProtection="1">
      <alignment horizontal="center" vertical="top"/>
      <protection locked="0"/>
    </xf>
    <xf numFmtId="0" fontId="4" fillId="0" borderId="0" xfId="0" applyFont="1"/>
    <xf numFmtId="0" fontId="4" fillId="0" borderId="0" xfId="0" applyFont="1"/>
    <xf numFmtId="0" fontId="12" fillId="5" borderId="1" xfId="3" applyFont="1" applyBorder="1" applyAlignment="1">
      <alignment horizontal="center"/>
    </xf>
    <xf numFmtId="0" fontId="4" fillId="5" borderId="2" xfId="3" applyFont="1" applyBorder="1" applyAlignment="1"/>
    <xf numFmtId="0" fontId="4" fillId="5" borderId="3" xfId="3" applyFont="1" applyBorder="1" applyAlignment="1"/>
    <xf numFmtId="0" fontId="4" fillId="5" borderId="1" xfId="3" applyFont="1" applyBorder="1" applyAlignment="1">
      <alignment horizontal="center"/>
    </xf>
    <xf numFmtId="0" fontId="4" fillId="5" borderId="1"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10"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0" xfId="3" applyFont="1" applyBorder="1" applyAlignment="1">
      <alignment vertical="top" wrapText="1"/>
    </xf>
    <xf numFmtId="0" fontId="12" fillId="5" borderId="2" xfId="0" applyFont="1" applyFill="1" applyBorder="1" applyAlignment="1">
      <alignment horizontal="center" vertical="center" wrapText="1"/>
    </xf>
    <xf numFmtId="0" fontId="12" fillId="5" borderId="3" xfId="0" applyFont="1" applyFill="1" applyBorder="1" applyAlignment="1">
      <alignment horizontal="center" vertical="center" wrapText="1"/>
    </xf>
    <xf numFmtId="0" fontId="12" fillId="5" borderId="2" xfId="0" applyFont="1" applyFill="1" applyBorder="1" applyAlignment="1">
      <alignment horizontal="center" vertical="center"/>
    </xf>
    <xf numFmtId="0" fontId="12" fillId="5" borderId="10" xfId="0" applyFont="1" applyFill="1" applyBorder="1" applyAlignment="1">
      <alignment horizontal="center" vertical="center"/>
    </xf>
    <xf numFmtId="0" fontId="12" fillId="5" borderId="3" xfId="0" applyFont="1" applyFill="1" applyBorder="1" applyAlignment="1">
      <alignment horizontal="center" vertical="center"/>
    </xf>
    <xf numFmtId="0" fontId="4" fillId="5" borderId="0" xfId="3" applyFont="1" applyAlignment="1">
      <alignment horizontal="left" vertical="top" wrapText="1"/>
    </xf>
    <xf numFmtId="0" fontId="5" fillId="0" borderId="0" xfId="0" applyFont="1" applyAlignment="1">
      <alignment horizontal="left" vertical="top"/>
    </xf>
    <xf numFmtId="0" fontId="4" fillId="0" borderId="0" xfId="0" applyFont="1" applyAlignment="1">
      <alignment vertical="top"/>
    </xf>
    <xf numFmtId="0" fontId="4" fillId="0" borderId="0" xfId="0" applyFont="1" applyAlignment="1">
      <alignment horizontal="left" vertical="top" wrapText="1"/>
    </xf>
    <xf numFmtId="0" fontId="25" fillId="4" borderId="0" xfId="2" applyFont="1" applyAlignment="1">
      <alignment horizontal="center" wrapText="1"/>
    </xf>
    <xf numFmtId="0" fontId="5" fillId="0" borderId="0" xfId="0" applyFont="1" applyAlignment="1">
      <alignment horizontal="right"/>
    </xf>
    <xf numFmtId="0" fontId="11" fillId="0" borderId="1" xfId="0" applyFont="1" applyBorder="1"/>
    <xf numFmtId="0" fontId="11" fillId="0" borderId="1" xfId="0" applyFont="1" applyBorder="1" applyAlignment="1">
      <alignment horizontal="right"/>
    </xf>
    <xf numFmtId="0" fontId="11" fillId="0" borderId="2" xfId="0" applyFont="1" applyBorder="1" applyAlignment="1">
      <alignment horizontal="right"/>
    </xf>
    <xf numFmtId="15" fontId="4" fillId="0" borderId="1" xfId="0" applyNumberFormat="1" applyFont="1" applyBorder="1" applyAlignment="1">
      <alignment horizontal="left"/>
    </xf>
    <xf numFmtId="0" fontId="4" fillId="0" borderId="1" xfId="0" applyFont="1" applyBorder="1" applyAlignment="1">
      <alignment horizontal="left"/>
    </xf>
    <xf numFmtId="0" fontId="4" fillId="0" borderId="1" xfId="0" applyFont="1" applyBorder="1"/>
    <xf numFmtId="0" fontId="4" fillId="5" borderId="0" xfId="3" applyFont="1" applyAlignment="1"/>
    <xf numFmtId="0" fontId="5" fillId="0" borderId="0" xfId="0" applyFont="1" applyAlignment="1">
      <alignment vertical="top"/>
    </xf>
    <xf numFmtId="0" fontId="4" fillId="0" borderId="0" xfId="0" applyFont="1" applyAlignment="1">
      <alignment horizontal="center" vertical="top"/>
    </xf>
    <xf numFmtId="0" fontId="4" fillId="0" borderId="0" xfId="0" applyFont="1" applyAlignment="1">
      <alignment horizontal="left" vertical="top"/>
    </xf>
    <xf numFmtId="0" fontId="3" fillId="0" borderId="0" xfId="1" applyAlignment="1">
      <alignment horizontal="left" vertical="center"/>
    </xf>
    <xf numFmtId="0" fontId="6" fillId="3" borderId="0" xfId="0" applyFont="1" applyFill="1" applyAlignment="1">
      <alignment vertical="top"/>
    </xf>
    <xf numFmtId="0" fontId="9" fillId="0" borderId="0" xfId="0" applyFont="1" applyAlignment="1">
      <alignment horizontal="left" vertical="top" wrapText="1"/>
    </xf>
    <xf numFmtId="0" fontId="9" fillId="0" borderId="0" xfId="0" applyFont="1" applyAlignment="1">
      <alignment horizontal="left" vertical="top"/>
    </xf>
    <xf numFmtId="0" fontId="4" fillId="0" borderId="0" xfId="0" applyFont="1" applyAlignment="1">
      <alignment horizontal="left"/>
    </xf>
    <xf numFmtId="0" fontId="4" fillId="5" borderId="11" xfId="3" applyFont="1" applyBorder="1" applyAlignment="1">
      <alignment horizontal="center"/>
    </xf>
    <xf numFmtId="0" fontId="12" fillId="5" borderId="1" xfId="3" applyFont="1" applyBorder="1" applyAlignment="1">
      <alignment horizontal="center" vertical="center" wrapText="1"/>
    </xf>
    <xf numFmtId="0" fontId="12" fillId="5" borderId="5" xfId="3" applyFont="1" applyBorder="1" applyAlignment="1">
      <alignment horizontal="center" vertical="center"/>
    </xf>
    <xf numFmtId="0" fontId="12" fillId="5" borderId="6" xfId="3" applyFont="1" applyBorder="1" applyAlignment="1">
      <alignment horizontal="center" vertical="center"/>
    </xf>
    <xf numFmtId="0" fontId="12" fillId="5" borderId="4" xfId="3" applyFont="1" applyBorder="1" applyAlignment="1">
      <alignment horizontal="center" vertical="center"/>
    </xf>
    <xf numFmtId="0" fontId="12" fillId="5" borderId="7" xfId="3" applyFont="1" applyBorder="1" applyAlignment="1">
      <alignment horizontal="center" vertical="center"/>
    </xf>
    <xf numFmtId="0" fontId="12" fillId="5" borderId="8" xfId="3" applyFont="1" applyBorder="1" applyAlignment="1">
      <alignment horizontal="center" vertical="center"/>
    </xf>
    <xf numFmtId="0" fontId="12" fillId="5" borderId="9" xfId="3" applyFont="1" applyBorder="1" applyAlignment="1">
      <alignment horizontal="center" vertical="center"/>
    </xf>
    <xf numFmtId="0" fontId="12" fillId="5" borderId="1" xfId="3" applyFont="1" applyBorder="1" applyAlignment="1">
      <alignment horizontal="center" vertical="center"/>
    </xf>
    <xf numFmtId="0" fontId="4" fillId="5" borderId="15" xfId="3" applyFont="1" applyBorder="1" applyAlignment="1"/>
    <xf numFmtId="0" fontId="4" fillId="5" borderId="16" xfId="3" applyFont="1" applyBorder="1" applyAlignment="1"/>
    <xf numFmtId="0" fontId="4" fillId="5" borderId="14" xfId="3" applyFont="1" applyBorder="1" applyAlignment="1">
      <alignment horizontal="center"/>
    </xf>
    <xf numFmtId="0" fontId="12" fillId="5" borderId="2" xfId="3" applyFont="1" applyBorder="1" applyAlignment="1">
      <alignment horizontal="center" vertical="center" wrapText="1"/>
    </xf>
    <xf numFmtId="0" fontId="12" fillId="5" borderId="3" xfId="3" applyFont="1" applyBorder="1" applyAlignment="1">
      <alignment horizontal="center" vertical="center" wrapText="1"/>
    </xf>
    <xf numFmtId="0" fontId="13" fillId="5" borderId="2" xfId="3" applyFont="1" applyBorder="1" applyAlignment="1">
      <alignment horizontal="center" vertical="center" wrapText="1"/>
    </xf>
    <xf numFmtId="0" fontId="13" fillId="5" borderId="3" xfId="3" applyFont="1" applyBorder="1" applyAlignment="1">
      <alignment horizontal="center" vertical="center" wrapText="1"/>
    </xf>
    <xf numFmtId="0" fontId="12" fillId="5" borderId="1" xfId="3" applyFont="1" applyBorder="1" applyAlignment="1">
      <alignment horizontal="center" wrapText="1"/>
    </xf>
    <xf numFmtId="0" fontId="13" fillId="5" borderId="2" xfId="3" applyFont="1" applyBorder="1" applyAlignment="1"/>
    <xf numFmtId="0" fontId="13" fillId="5" borderId="3" xfId="3" applyFont="1" applyBorder="1" applyAlignment="1"/>
    <xf numFmtId="0" fontId="4" fillId="5" borderId="1" xfId="3" applyFont="1" applyBorder="1" applyAlignment="1">
      <alignment horizontal="center" vertical="center"/>
    </xf>
    <xf numFmtId="0" fontId="12" fillId="2" borderId="1" xfId="0" applyFont="1" applyFill="1" applyBorder="1" applyAlignment="1">
      <alignment horizontal="center" vertical="center"/>
    </xf>
    <xf numFmtId="0" fontId="12" fillId="2" borderId="2" xfId="0" applyFont="1" applyFill="1" applyBorder="1" applyAlignment="1">
      <alignment horizontal="center" vertical="center"/>
    </xf>
    <xf numFmtId="0" fontId="12" fillId="2" borderId="3" xfId="0" applyFont="1" applyFill="1" applyBorder="1" applyAlignment="1">
      <alignment horizontal="center" vertical="center"/>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4" fillId="0" borderId="1" xfId="0" applyFont="1" applyBorder="1" applyAlignment="1">
      <alignment horizontal="center" vertical="center" wrapText="1"/>
    </xf>
    <xf numFmtId="0" fontId="5" fillId="0" borderId="0" xfId="0" applyFont="1" applyAlignment="1">
      <alignment vertical="top" wrapText="1"/>
    </xf>
    <xf numFmtId="0" fontId="4" fillId="0" borderId="11" xfId="4" applyFont="1" applyBorder="1" applyAlignment="1">
      <alignment horizontal="center"/>
    </xf>
    <xf numFmtId="0" fontId="4" fillId="5" borderId="0" xfId="3" applyFont="1" applyBorder="1" applyAlignment="1">
      <alignment horizontal="left" vertical="top" wrapText="1"/>
    </xf>
    <xf numFmtId="0" fontId="4" fillId="0" borderId="2" xfId="0" applyFont="1" applyBorder="1" applyAlignment="1" applyProtection="1">
      <alignment horizontal="center" vertical="top" wrapText="1"/>
      <protection locked="0"/>
    </xf>
    <xf numFmtId="0" fontId="4" fillId="0" borderId="3" xfId="0" applyFont="1" applyBorder="1" applyAlignment="1" applyProtection="1">
      <alignment horizontal="center" vertical="top" wrapText="1"/>
      <protection locked="0"/>
    </xf>
    <xf numFmtId="0" fontId="30" fillId="0" borderId="1" xfId="1" applyFont="1" applyBorder="1" applyAlignment="1" applyProtection="1">
      <alignment horizontal="center" vertical="top" wrapText="1"/>
      <protection locked="0"/>
    </xf>
    <xf numFmtId="0" fontId="4" fillId="0" borderId="1" xfId="0" applyFont="1" applyBorder="1" applyAlignment="1" applyProtection="1">
      <alignment horizontal="center" vertical="top" wrapText="1"/>
      <protection locked="0"/>
    </xf>
    <xf numFmtId="0" fontId="5" fillId="0" borderId="0" xfId="0" applyFont="1" applyAlignment="1">
      <alignment horizontal="left" vertical="top" wrapText="1"/>
    </xf>
    <xf numFmtId="0" fontId="18" fillId="0" borderId="0" xfId="0" applyFont="1" applyAlignment="1">
      <alignment horizontal="left" vertical="top" wrapText="1"/>
    </xf>
    <xf numFmtId="0" fontId="12" fillId="2" borderId="2" xfId="0" applyFont="1" applyFill="1" applyBorder="1" applyAlignment="1" applyProtection="1">
      <alignment horizontal="center" vertical="top"/>
      <protection locked="0"/>
    </xf>
    <xf numFmtId="0" fontId="12" fillId="2" borderId="3" xfId="0" applyFont="1" applyFill="1" applyBorder="1" applyAlignment="1" applyProtection="1">
      <alignment horizontal="center" vertical="top"/>
      <protection locked="0"/>
    </xf>
    <xf numFmtId="0" fontId="12" fillId="2" borderId="1" xfId="0" applyFont="1" applyFill="1" applyBorder="1" applyAlignment="1" applyProtection="1">
      <alignment horizontal="center" vertical="top"/>
      <protection locked="0"/>
    </xf>
    <xf numFmtId="0" fontId="4" fillId="0" borderId="12" xfId="0" applyFont="1" applyBorder="1" applyAlignment="1">
      <alignment horizontal="left" vertical="top"/>
    </xf>
    <xf numFmtId="0" fontId="12" fillId="2" borderId="10" xfId="0" applyFont="1" applyFill="1" applyBorder="1" applyAlignment="1">
      <alignment horizontal="center" vertical="center"/>
    </xf>
    <xf numFmtId="0" fontId="12" fillId="2" borderId="2" xfId="0" applyFont="1" applyFill="1" applyBorder="1" applyAlignment="1">
      <alignment horizontal="center" vertical="center" wrapText="1"/>
    </xf>
    <xf numFmtId="0" fontId="12" fillId="2" borderId="10" xfId="0" applyFont="1" applyFill="1" applyBorder="1" applyAlignment="1">
      <alignment horizontal="center" vertical="center" wrapText="1"/>
    </xf>
    <xf numFmtId="0" fontId="12" fillId="2" borderId="3" xfId="0" applyFont="1" applyFill="1" applyBorder="1" applyAlignment="1">
      <alignment horizontal="center" vertical="center" wrapText="1"/>
    </xf>
    <xf numFmtId="0" fontId="4" fillId="0" borderId="2" xfId="0" applyFont="1" applyBorder="1" applyAlignment="1">
      <alignment horizontal="center" vertical="top"/>
    </xf>
    <xf numFmtId="0" fontId="4" fillId="0" borderId="10" xfId="0" applyFont="1" applyBorder="1" applyAlignment="1">
      <alignment horizontal="center" vertical="top"/>
    </xf>
    <xf numFmtId="0" fontId="4" fillId="0" borderId="3" xfId="0" applyFont="1" applyBorder="1" applyAlignment="1">
      <alignment horizontal="center" vertical="top"/>
    </xf>
    <xf numFmtId="49" fontId="4" fillId="0" borderId="1" xfId="0" applyNumberFormat="1" applyFont="1" applyBorder="1" applyAlignment="1">
      <alignment horizontal="center" vertical="top"/>
    </xf>
    <xf numFmtId="9" fontId="4" fillId="0" borderId="1" xfId="0" applyNumberFormat="1" applyFont="1" applyBorder="1" applyAlignment="1">
      <alignment horizontal="center" vertical="top"/>
    </xf>
    <xf numFmtId="0" fontId="4" fillId="0" borderId="1" xfId="0" applyNumberFormat="1" applyFont="1" applyBorder="1" applyAlignment="1">
      <alignment horizontal="center" vertical="top"/>
    </xf>
    <xf numFmtId="9" fontId="4" fillId="0" borderId="2" xfId="0" applyNumberFormat="1" applyFont="1" applyBorder="1" applyAlignment="1">
      <alignment horizontal="center" vertical="top"/>
    </xf>
    <xf numFmtId="9" fontId="4" fillId="0" borderId="3" xfId="0" applyNumberFormat="1" applyFont="1" applyBorder="1" applyAlignment="1">
      <alignment horizontal="center" vertical="top"/>
    </xf>
    <xf numFmtId="0" fontId="4" fillId="0" borderId="1" xfId="0" applyFont="1" applyBorder="1" applyAlignment="1">
      <alignment horizontal="left" vertical="top" wrapText="1" indent="6"/>
    </xf>
    <xf numFmtId="0" fontId="4" fillId="0" borderId="13" xfId="0" applyFont="1" applyBorder="1" applyAlignment="1">
      <alignment horizontal="right" vertical="top" wrapText="1"/>
    </xf>
    <xf numFmtId="0" fontId="4" fillId="0" borderId="5" xfId="0" applyFont="1" applyBorder="1" applyAlignment="1">
      <alignment horizontal="right" vertical="top" wrapText="1"/>
    </xf>
    <xf numFmtId="164" fontId="4" fillId="0" borderId="6" xfId="0" applyNumberFormat="1" applyFont="1" applyBorder="1" applyAlignment="1">
      <alignment horizontal="left" vertical="top" wrapText="1"/>
    </xf>
    <xf numFmtId="164" fontId="4" fillId="0" borderId="13" xfId="0" applyNumberFormat="1" applyFont="1" applyBorder="1" applyAlignment="1">
      <alignment horizontal="left" vertical="top" wrapText="1"/>
    </xf>
    <xf numFmtId="0" fontId="4" fillId="0" borderId="2" xfId="0" applyFont="1" applyBorder="1" applyAlignment="1">
      <alignment horizontal="left" vertical="top" wrapText="1" indent="6"/>
    </xf>
    <xf numFmtId="164" fontId="4" fillId="0" borderId="2" xfId="0" applyNumberFormat="1" applyFont="1" applyBorder="1" applyAlignment="1">
      <alignment horizontal="right" vertical="top" wrapText="1"/>
    </xf>
    <xf numFmtId="164" fontId="4" fillId="0" borderId="10" xfId="0" applyNumberFormat="1" applyFont="1" applyBorder="1" applyAlignment="1">
      <alignment horizontal="right" vertical="top" wrapText="1"/>
    </xf>
    <xf numFmtId="164" fontId="4" fillId="0" borderId="10" xfId="0" applyNumberFormat="1" applyFont="1" applyBorder="1" applyAlignment="1">
      <alignment horizontal="left" vertical="top" wrapText="1"/>
    </xf>
    <xf numFmtId="164" fontId="4" fillId="0" borderId="3" xfId="0" applyNumberFormat="1" applyFont="1" applyBorder="1" applyAlignment="1">
      <alignment horizontal="left" vertical="top" wrapText="1"/>
    </xf>
    <xf numFmtId="9" fontId="4" fillId="0" borderId="1" xfId="0" applyNumberFormat="1" applyFont="1" applyBorder="1" applyAlignment="1">
      <alignment horizontal="center"/>
    </xf>
    <xf numFmtId="0" fontId="4" fillId="0" borderId="1" xfId="0" applyFont="1" applyBorder="1" applyAlignment="1">
      <alignment horizontal="center"/>
    </xf>
    <xf numFmtId="0" fontId="4" fillId="0" borderId="0" xfId="0" applyFont="1" applyBorder="1" applyAlignment="1">
      <alignment horizontal="left" vertical="top" wrapText="1"/>
    </xf>
    <xf numFmtId="0" fontId="4" fillId="0" borderId="0" xfId="0" applyFont="1" applyAlignment="1">
      <alignment vertical="top" wrapText="1"/>
    </xf>
    <xf numFmtId="0" fontId="8" fillId="0" borderId="1" xfId="0" applyFont="1" applyBorder="1" applyAlignment="1">
      <alignment horizontal="center" vertical="top" wrapText="1"/>
    </xf>
    <xf numFmtId="0" fontId="8" fillId="0" borderId="13" xfId="0" applyFont="1" applyBorder="1" applyAlignment="1">
      <alignment horizontal="center" vertical="top" wrapText="1"/>
    </xf>
    <xf numFmtId="0" fontId="4" fillId="0" borderId="12" xfId="0" applyFont="1" applyBorder="1" applyAlignment="1">
      <alignment vertical="top" wrapText="1"/>
    </xf>
    <xf numFmtId="0" fontId="4" fillId="2" borderId="2" xfId="0" applyFont="1" applyFill="1" applyBorder="1"/>
    <xf numFmtId="0" fontId="4" fillId="2" borderId="3" xfId="0" applyFont="1" applyFill="1" applyBorder="1"/>
    <xf numFmtId="0" fontId="4" fillId="0" borderId="1" xfId="0" applyFont="1" applyBorder="1" applyAlignment="1">
      <alignment vertical="top" wrapText="1"/>
    </xf>
    <xf numFmtId="0" fontId="4" fillId="0" borderId="1" xfId="0" applyFont="1" applyBorder="1" applyAlignment="1">
      <alignment horizontal="left" vertical="top" wrapText="1"/>
    </xf>
    <xf numFmtId="0" fontId="10" fillId="4" borderId="0" xfId="2" applyAlignment="1">
      <alignment horizontal="left" vertical="top" wrapText="1"/>
    </xf>
    <xf numFmtId="0" fontId="28" fillId="0" borderId="0" xfId="0" applyFont="1" applyAlignment="1">
      <alignment horizontal="left" vertical="top" wrapText="1"/>
    </xf>
    <xf numFmtId="0" fontId="27" fillId="0" borderId="0" xfId="0" applyFont="1" applyAlignment="1">
      <alignment horizontal="left" vertical="top" wrapText="1"/>
    </xf>
    <xf numFmtId="0" fontId="4" fillId="6" borderId="0" xfId="0" applyFont="1" applyFill="1"/>
    <xf numFmtId="0" fontId="4" fillId="7" borderId="0" xfId="0" applyFont="1" applyFill="1"/>
    <xf numFmtId="0" fontId="4" fillId="8" borderId="0" xfId="0" applyFont="1" applyFill="1"/>
  </cellXfs>
  <cellStyles count="5">
    <cellStyle name="Excluded Colour" xfId="3"/>
    <cellStyle name="Good" xfId="2" builtinId="26"/>
    <cellStyle name="Hyperlink" xfId="1" builtinId="8"/>
    <cellStyle name="No Shading" xf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0</xdr:row>
      <xdr:rowOff>28575</xdr:rowOff>
    </xdr:from>
    <xdr:to>
      <xdr:col>3</xdr:col>
      <xdr:colOff>125477</xdr:colOff>
      <xdr:row>4</xdr:row>
      <xdr:rowOff>6923</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1924050" y="28575"/>
          <a:ext cx="1487552" cy="74987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76200</xdr:colOff>
          <xdr:row>26</xdr:row>
          <xdr:rowOff>28575</xdr:rowOff>
        </xdr:from>
        <xdr:to>
          <xdr:col>5</xdr:col>
          <xdr:colOff>276225</xdr:colOff>
          <xdr:row>26</xdr:row>
          <xdr:rowOff>171450</xdr:rowOff>
        </xdr:to>
        <xdr:sp macro="" textlink="">
          <xdr:nvSpPr>
            <xdr:cNvPr id="7169" name="Button 1" hidden="1">
              <a:extLst>
                <a:ext uri="{63B3BB69-23CF-44E3-9099-C40C66FF867C}">
                  <a14:compatExt spid="_x0000_s7169"/>
                </a:ext>
                <a:ext uri="{FF2B5EF4-FFF2-40B4-BE49-F238E27FC236}">
                  <a16:creationId xmlns:a16="http://schemas.microsoft.com/office/drawing/2014/main" xmlns=""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Learning Outcome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361950</xdr:colOff>
          <xdr:row>26</xdr:row>
          <xdr:rowOff>19050</xdr:rowOff>
        </xdr:from>
        <xdr:to>
          <xdr:col>9</xdr:col>
          <xdr:colOff>581025</xdr:colOff>
          <xdr:row>26</xdr:row>
          <xdr:rowOff>161925</xdr:rowOff>
        </xdr:to>
        <xdr:sp macro="" textlink="">
          <xdr:nvSpPr>
            <xdr:cNvPr id="7170" name="Button 2" hidden="1">
              <a:extLst>
                <a:ext uri="{63B3BB69-23CF-44E3-9099-C40C66FF867C}">
                  <a14:compatExt spid="_x0000_s7170"/>
                </a:ext>
                <a:ext uri="{FF2B5EF4-FFF2-40B4-BE49-F238E27FC236}">
                  <a16:creationId xmlns:a16="http://schemas.microsoft.com/office/drawing/2014/main" xmlns=""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Learning Outcome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36</xdr:row>
          <xdr:rowOff>28575</xdr:rowOff>
        </xdr:from>
        <xdr:to>
          <xdr:col>5</xdr:col>
          <xdr:colOff>219075</xdr:colOff>
          <xdr:row>36</xdr:row>
          <xdr:rowOff>171450</xdr:rowOff>
        </xdr:to>
        <xdr:sp macro="" textlink="">
          <xdr:nvSpPr>
            <xdr:cNvPr id="7171" name="Button 3" hidden="1">
              <a:extLst>
                <a:ext uri="{63B3BB69-23CF-44E3-9099-C40C66FF867C}">
                  <a14:compatExt spid="_x0000_s7171"/>
                </a:ext>
                <a:ext uri="{FF2B5EF4-FFF2-40B4-BE49-F238E27FC236}">
                  <a16:creationId xmlns:a16="http://schemas.microsoft.com/office/drawing/2014/main" xmlns=""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Row to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36</xdr:row>
          <xdr:rowOff>28575</xdr:rowOff>
        </xdr:from>
        <xdr:to>
          <xdr:col>9</xdr:col>
          <xdr:colOff>571500</xdr:colOff>
          <xdr:row>36</xdr:row>
          <xdr:rowOff>171450</xdr:rowOff>
        </xdr:to>
        <xdr:sp macro="" textlink="">
          <xdr:nvSpPr>
            <xdr:cNvPr id="7172" name="Button 4" hidden="1">
              <a:extLst>
                <a:ext uri="{63B3BB69-23CF-44E3-9099-C40C66FF867C}">
                  <a14:compatExt spid="_x0000_s7172"/>
                </a:ext>
                <a:ext uri="{FF2B5EF4-FFF2-40B4-BE49-F238E27FC236}">
                  <a16:creationId xmlns:a16="http://schemas.microsoft.com/office/drawing/2014/main" xmlns=""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 From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81</xdr:row>
          <xdr:rowOff>28575</xdr:rowOff>
        </xdr:from>
        <xdr:to>
          <xdr:col>5</xdr:col>
          <xdr:colOff>219075</xdr:colOff>
          <xdr:row>81</xdr:row>
          <xdr:rowOff>171450</xdr:rowOff>
        </xdr:to>
        <xdr:sp macro="" textlink="">
          <xdr:nvSpPr>
            <xdr:cNvPr id="7173" name="Button 5" hidden="1">
              <a:extLst>
                <a:ext uri="{63B3BB69-23CF-44E3-9099-C40C66FF867C}">
                  <a14:compatExt spid="_x0000_s7173"/>
                </a:ext>
                <a:ext uri="{FF2B5EF4-FFF2-40B4-BE49-F238E27FC236}">
                  <a16:creationId xmlns:a16="http://schemas.microsoft.com/office/drawing/2014/main" xmlns=""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81</xdr:row>
          <xdr:rowOff>28575</xdr:rowOff>
        </xdr:from>
        <xdr:to>
          <xdr:col>9</xdr:col>
          <xdr:colOff>571500</xdr:colOff>
          <xdr:row>81</xdr:row>
          <xdr:rowOff>171450</xdr:rowOff>
        </xdr:to>
        <xdr:sp macro="" textlink="">
          <xdr:nvSpPr>
            <xdr:cNvPr id="7174" name="Button 6" hidden="1">
              <a:extLst>
                <a:ext uri="{63B3BB69-23CF-44E3-9099-C40C66FF867C}">
                  <a14:compatExt spid="_x0000_s7174"/>
                </a:ext>
                <a:ext uri="{FF2B5EF4-FFF2-40B4-BE49-F238E27FC236}">
                  <a16:creationId xmlns:a16="http://schemas.microsoft.com/office/drawing/2014/main" xmlns="" id="{00000000-0008-0000-0000-000006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87</xdr:row>
          <xdr:rowOff>28575</xdr:rowOff>
        </xdr:from>
        <xdr:to>
          <xdr:col>5</xdr:col>
          <xdr:colOff>219075</xdr:colOff>
          <xdr:row>87</xdr:row>
          <xdr:rowOff>171450</xdr:rowOff>
        </xdr:to>
        <xdr:sp macro="" textlink="">
          <xdr:nvSpPr>
            <xdr:cNvPr id="7175" name="Button 7" hidden="1">
              <a:extLst>
                <a:ext uri="{63B3BB69-23CF-44E3-9099-C40C66FF867C}">
                  <a14:compatExt spid="_x0000_s7175"/>
                </a:ext>
                <a:ext uri="{FF2B5EF4-FFF2-40B4-BE49-F238E27FC236}">
                  <a16:creationId xmlns:a16="http://schemas.microsoft.com/office/drawing/2014/main" xmlns=""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Course Coordinator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87</xdr:row>
          <xdr:rowOff>28575</xdr:rowOff>
        </xdr:from>
        <xdr:to>
          <xdr:col>9</xdr:col>
          <xdr:colOff>571500</xdr:colOff>
          <xdr:row>87</xdr:row>
          <xdr:rowOff>171450</xdr:rowOff>
        </xdr:to>
        <xdr:sp macro="" textlink="">
          <xdr:nvSpPr>
            <xdr:cNvPr id="7176" name="Button 8" hidden="1">
              <a:extLst>
                <a:ext uri="{63B3BB69-23CF-44E3-9099-C40C66FF867C}">
                  <a14:compatExt spid="_x0000_s7176"/>
                </a:ext>
                <a:ext uri="{FF2B5EF4-FFF2-40B4-BE49-F238E27FC236}">
                  <a16:creationId xmlns:a16="http://schemas.microsoft.com/office/drawing/2014/main" xmlns="" id="{00000000-0008-0000-0000-00000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Course Coordinator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88</xdr:row>
          <xdr:rowOff>28575</xdr:rowOff>
        </xdr:from>
        <xdr:to>
          <xdr:col>5</xdr:col>
          <xdr:colOff>219075</xdr:colOff>
          <xdr:row>88</xdr:row>
          <xdr:rowOff>171450</xdr:rowOff>
        </xdr:to>
        <xdr:sp macro="" textlink="">
          <xdr:nvSpPr>
            <xdr:cNvPr id="7177" name="Button 9" hidden="1">
              <a:extLst>
                <a:ext uri="{63B3BB69-23CF-44E3-9099-C40C66FF867C}">
                  <a14:compatExt spid="_x0000_s7177"/>
                </a:ext>
                <a:ext uri="{FF2B5EF4-FFF2-40B4-BE49-F238E27FC236}">
                  <a16:creationId xmlns:a16="http://schemas.microsoft.com/office/drawing/2014/main" xmlns="" id="{00000000-0008-0000-0000-000009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Instructor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88</xdr:row>
          <xdr:rowOff>28575</xdr:rowOff>
        </xdr:from>
        <xdr:to>
          <xdr:col>9</xdr:col>
          <xdr:colOff>571500</xdr:colOff>
          <xdr:row>88</xdr:row>
          <xdr:rowOff>171450</xdr:rowOff>
        </xdr:to>
        <xdr:sp macro="" textlink="">
          <xdr:nvSpPr>
            <xdr:cNvPr id="7178" name="Button 10" hidden="1">
              <a:extLst>
                <a:ext uri="{63B3BB69-23CF-44E3-9099-C40C66FF867C}">
                  <a14:compatExt spid="_x0000_s7178"/>
                </a:ext>
                <a:ext uri="{FF2B5EF4-FFF2-40B4-BE49-F238E27FC236}">
                  <a16:creationId xmlns:a16="http://schemas.microsoft.com/office/drawing/2014/main" xmlns="" id="{00000000-0008-0000-0000-00000A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Instructor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89</xdr:row>
          <xdr:rowOff>28575</xdr:rowOff>
        </xdr:from>
        <xdr:to>
          <xdr:col>5</xdr:col>
          <xdr:colOff>219075</xdr:colOff>
          <xdr:row>89</xdr:row>
          <xdr:rowOff>171450</xdr:rowOff>
        </xdr:to>
        <xdr:sp macro="" textlink="">
          <xdr:nvSpPr>
            <xdr:cNvPr id="7179" name="Button 11" hidden="1">
              <a:extLst>
                <a:ext uri="{63B3BB69-23CF-44E3-9099-C40C66FF867C}">
                  <a14:compatExt spid="_x0000_s7179"/>
                </a:ext>
                <a:ext uri="{FF2B5EF4-FFF2-40B4-BE49-F238E27FC236}">
                  <a16:creationId xmlns:a16="http://schemas.microsoft.com/office/drawing/2014/main" xmlns="" id="{00000000-0008-0000-0000-00000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89</xdr:row>
          <xdr:rowOff>28575</xdr:rowOff>
        </xdr:from>
        <xdr:to>
          <xdr:col>9</xdr:col>
          <xdr:colOff>571500</xdr:colOff>
          <xdr:row>89</xdr:row>
          <xdr:rowOff>171450</xdr:rowOff>
        </xdr:to>
        <xdr:sp macro="" textlink="">
          <xdr:nvSpPr>
            <xdr:cNvPr id="7180" name="Button 12" hidden="1">
              <a:extLst>
                <a:ext uri="{63B3BB69-23CF-44E3-9099-C40C66FF867C}">
                  <a14:compatExt spid="_x0000_s7180"/>
                </a:ext>
                <a:ext uri="{FF2B5EF4-FFF2-40B4-BE49-F238E27FC236}">
                  <a16:creationId xmlns:a16="http://schemas.microsoft.com/office/drawing/2014/main" xmlns="" id="{00000000-0008-0000-0000-00000C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112</xdr:row>
          <xdr:rowOff>28575</xdr:rowOff>
        </xdr:from>
        <xdr:to>
          <xdr:col>5</xdr:col>
          <xdr:colOff>219075</xdr:colOff>
          <xdr:row>112</xdr:row>
          <xdr:rowOff>171450</xdr:rowOff>
        </xdr:to>
        <xdr:sp macro="" textlink="">
          <xdr:nvSpPr>
            <xdr:cNvPr id="7181" name="Button 13" hidden="1">
              <a:extLst>
                <a:ext uri="{63B3BB69-23CF-44E3-9099-C40C66FF867C}">
                  <a14:compatExt spid="_x0000_s7181"/>
                </a:ext>
                <a:ext uri="{FF2B5EF4-FFF2-40B4-BE49-F238E27FC236}">
                  <a16:creationId xmlns:a16="http://schemas.microsoft.com/office/drawing/2014/main" xmlns="" id="{00000000-0008-0000-0000-00000D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Grade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112</xdr:row>
          <xdr:rowOff>28575</xdr:rowOff>
        </xdr:from>
        <xdr:to>
          <xdr:col>9</xdr:col>
          <xdr:colOff>571500</xdr:colOff>
          <xdr:row>112</xdr:row>
          <xdr:rowOff>171450</xdr:rowOff>
        </xdr:to>
        <xdr:sp macro="" textlink="">
          <xdr:nvSpPr>
            <xdr:cNvPr id="7182" name="Button 14" hidden="1">
              <a:extLst>
                <a:ext uri="{63B3BB69-23CF-44E3-9099-C40C66FF867C}">
                  <a14:compatExt spid="_x0000_s7182"/>
                </a:ext>
                <a:ext uri="{FF2B5EF4-FFF2-40B4-BE49-F238E27FC236}">
                  <a16:creationId xmlns:a16="http://schemas.microsoft.com/office/drawing/2014/main" xmlns="" id="{00000000-0008-0000-0000-00000E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Grade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140</xdr:row>
          <xdr:rowOff>28575</xdr:rowOff>
        </xdr:from>
        <xdr:to>
          <xdr:col>5</xdr:col>
          <xdr:colOff>219075</xdr:colOff>
          <xdr:row>140</xdr:row>
          <xdr:rowOff>171450</xdr:rowOff>
        </xdr:to>
        <xdr:sp macro="" textlink="">
          <xdr:nvSpPr>
            <xdr:cNvPr id="7183" name="Button 15" hidden="1">
              <a:extLst>
                <a:ext uri="{63B3BB69-23CF-44E3-9099-C40C66FF867C}">
                  <a14:compatExt spid="_x0000_s7183"/>
                </a:ext>
                <a:ext uri="{FF2B5EF4-FFF2-40B4-BE49-F238E27FC236}">
                  <a16:creationId xmlns:a16="http://schemas.microsoft.com/office/drawing/2014/main" xmlns="" id="{00000000-0008-0000-0000-00000F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Textbook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140</xdr:row>
          <xdr:rowOff>28575</xdr:rowOff>
        </xdr:from>
        <xdr:to>
          <xdr:col>9</xdr:col>
          <xdr:colOff>571500</xdr:colOff>
          <xdr:row>140</xdr:row>
          <xdr:rowOff>171450</xdr:rowOff>
        </xdr:to>
        <xdr:sp macro="" textlink="">
          <xdr:nvSpPr>
            <xdr:cNvPr id="7184" name="Button 16" hidden="1">
              <a:extLst>
                <a:ext uri="{63B3BB69-23CF-44E3-9099-C40C66FF867C}">
                  <a14:compatExt spid="_x0000_s7184"/>
                </a:ext>
                <a:ext uri="{FF2B5EF4-FFF2-40B4-BE49-F238E27FC236}">
                  <a16:creationId xmlns:a16="http://schemas.microsoft.com/office/drawing/2014/main" xmlns="" id="{00000000-0008-0000-0000-000010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Textbook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148</xdr:row>
          <xdr:rowOff>28575</xdr:rowOff>
        </xdr:from>
        <xdr:to>
          <xdr:col>5</xdr:col>
          <xdr:colOff>219075</xdr:colOff>
          <xdr:row>148</xdr:row>
          <xdr:rowOff>171450</xdr:rowOff>
        </xdr:to>
        <xdr:sp macro="" textlink="">
          <xdr:nvSpPr>
            <xdr:cNvPr id="7185" name="Button 17" hidden="1">
              <a:extLst>
                <a:ext uri="{63B3BB69-23CF-44E3-9099-C40C66FF867C}">
                  <a14:compatExt spid="_x0000_s7185"/>
                </a:ext>
                <a:ext uri="{FF2B5EF4-FFF2-40B4-BE49-F238E27FC236}">
                  <a16:creationId xmlns:a16="http://schemas.microsoft.com/office/drawing/2014/main" xmlns="" id="{00000000-0008-0000-0000-00001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Recommended Textbook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148</xdr:row>
          <xdr:rowOff>28575</xdr:rowOff>
        </xdr:from>
        <xdr:to>
          <xdr:col>9</xdr:col>
          <xdr:colOff>571500</xdr:colOff>
          <xdr:row>148</xdr:row>
          <xdr:rowOff>171450</xdr:rowOff>
        </xdr:to>
        <xdr:sp macro="" textlink="">
          <xdr:nvSpPr>
            <xdr:cNvPr id="7186" name="Button 18" hidden="1">
              <a:extLst>
                <a:ext uri="{63B3BB69-23CF-44E3-9099-C40C66FF867C}">
                  <a14:compatExt spid="_x0000_s7186"/>
                </a:ext>
                <a:ext uri="{FF2B5EF4-FFF2-40B4-BE49-F238E27FC236}">
                  <a16:creationId xmlns:a16="http://schemas.microsoft.com/office/drawing/2014/main" xmlns="" id="{00000000-0008-0000-0000-00001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Recommended Textbook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161</xdr:row>
          <xdr:rowOff>9525</xdr:rowOff>
        </xdr:from>
        <xdr:to>
          <xdr:col>3</xdr:col>
          <xdr:colOff>466725</xdr:colOff>
          <xdr:row>161</xdr:row>
          <xdr:rowOff>371475</xdr:rowOff>
        </xdr:to>
        <xdr:sp macro="" textlink="">
          <xdr:nvSpPr>
            <xdr:cNvPr id="7187" name="Button 19" hidden="1">
              <a:extLst>
                <a:ext uri="{63B3BB69-23CF-44E3-9099-C40C66FF867C}">
                  <a14:compatExt spid="_x0000_s7187"/>
                </a:ext>
                <a:ext uri="{FF2B5EF4-FFF2-40B4-BE49-F238E27FC236}">
                  <a16:creationId xmlns:a16="http://schemas.microsoft.com/office/drawing/2014/main" xmlns="" id="{00000000-0008-0000-0000-00001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485775</xdr:colOff>
          <xdr:row>160</xdr:row>
          <xdr:rowOff>161925</xdr:rowOff>
        </xdr:from>
        <xdr:to>
          <xdr:col>8</xdr:col>
          <xdr:colOff>38100</xdr:colOff>
          <xdr:row>160</xdr:row>
          <xdr:rowOff>628650</xdr:rowOff>
        </xdr:to>
        <xdr:sp macro="" textlink="">
          <xdr:nvSpPr>
            <xdr:cNvPr id="7199" name="Button 31" hidden="1">
              <a:extLst>
                <a:ext uri="{63B3BB69-23CF-44E3-9099-C40C66FF867C}">
                  <a14:compatExt spid="_x0000_s7199"/>
                </a:ext>
                <a:ext uri="{FF2B5EF4-FFF2-40B4-BE49-F238E27FC236}">
                  <a16:creationId xmlns:a16="http://schemas.microsoft.com/office/drawing/2014/main" xmlns="" id="{00000000-0008-0000-0000-00001F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Toggle Preview (Toggles blue rows)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omments" Target="../comments1.xml"/><Relationship Id="rId3" Type="http://schemas.openxmlformats.org/officeDocument/2006/relationships/printerSettings" Target="../printerSettings/printerSettings1.bin"/><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2" Type="http://schemas.openxmlformats.org/officeDocument/2006/relationships/hyperlink" Target="mailto:mmoshirp@ucalgary.ca" TargetMode="Externa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hyperlink" Target="http://www.ucalgary.ca/pubs/calendar/current/software-engineering-for-engineers.html" TargetMode="External"/><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67"/>
  <sheetViews>
    <sheetView tabSelected="1" topLeftCell="B76" zoomScaleNormal="100" workbookViewId="0">
      <selection activeCell="O77" sqref="O77"/>
    </sheetView>
  </sheetViews>
  <sheetFormatPr defaultRowHeight="14.25" x14ac:dyDescent="0.2"/>
  <cols>
    <col min="1" max="1" width="28.28515625" style="9" hidden="1" customWidth="1"/>
    <col min="2" max="2" width="9.140625" style="54" customWidth="1"/>
    <col min="3" max="3" width="11.85546875" style="54" customWidth="1"/>
    <col min="4" max="4" width="11.140625" style="54" customWidth="1"/>
    <col min="5" max="5" width="9.140625" style="54"/>
    <col min="6" max="6" width="7" style="54" customWidth="1"/>
    <col min="7" max="10" width="9.140625" style="54"/>
    <col min="11" max="11" width="9.85546875" style="54" customWidth="1"/>
    <col min="12" max="21" width="9.140625" style="54" customWidth="1"/>
    <col min="22" max="16384" width="9.140625" style="54"/>
  </cols>
  <sheetData>
    <row r="1" spans="1:13" ht="15.75" x14ac:dyDescent="0.25">
      <c r="A1" s="9" t="s">
        <v>344</v>
      </c>
      <c r="H1" s="96" t="s">
        <v>90</v>
      </c>
      <c r="I1" s="96"/>
      <c r="J1" s="96"/>
      <c r="K1" s="95" t="s">
        <v>292</v>
      </c>
    </row>
    <row r="2" spans="1:13" ht="15.75" x14ac:dyDescent="0.25">
      <c r="H2" s="96" t="s">
        <v>345</v>
      </c>
      <c r="I2" s="96"/>
      <c r="J2" s="96"/>
      <c r="K2" s="95"/>
    </row>
    <row r="3" spans="1:13" x14ac:dyDescent="0.2">
      <c r="H3" s="97" t="s">
        <v>93</v>
      </c>
      <c r="I3" s="97"/>
      <c r="J3" s="53" t="s">
        <v>94</v>
      </c>
      <c r="K3" s="95"/>
    </row>
    <row r="4" spans="1:13" ht="15" x14ac:dyDescent="0.25">
      <c r="F4" s="98" t="s">
        <v>92</v>
      </c>
      <c r="G4" s="99"/>
      <c r="H4" s="100">
        <v>42740</v>
      </c>
      <c r="I4" s="101"/>
      <c r="J4" s="60" t="s">
        <v>346</v>
      </c>
      <c r="K4" s="95"/>
    </row>
    <row r="5" spans="1:13" x14ac:dyDescent="0.2">
      <c r="F5" s="98" t="s">
        <v>91</v>
      </c>
      <c r="G5" s="99"/>
      <c r="H5" s="102"/>
      <c r="I5" s="102"/>
      <c r="J5" s="52"/>
      <c r="K5" s="95"/>
    </row>
    <row r="6" spans="1:13" x14ac:dyDescent="0.2">
      <c r="K6" s="95"/>
    </row>
    <row r="7" spans="1:13" x14ac:dyDescent="0.2">
      <c r="B7" s="103" t="s">
        <v>330</v>
      </c>
      <c r="C7" s="103"/>
      <c r="D7" s="103"/>
      <c r="E7" s="103"/>
      <c r="F7" s="103"/>
      <c r="G7" s="103"/>
      <c r="H7" s="103"/>
      <c r="I7" s="103"/>
      <c r="J7" s="103"/>
      <c r="K7" s="95"/>
    </row>
    <row r="8" spans="1:13" ht="15.75" x14ac:dyDescent="0.2">
      <c r="B8" s="104" t="s">
        <v>53</v>
      </c>
      <c r="C8" s="104"/>
      <c r="D8" s="104"/>
      <c r="E8" s="104"/>
      <c r="F8" s="104"/>
      <c r="G8" s="104"/>
      <c r="H8" s="104"/>
      <c r="I8" s="104"/>
      <c r="J8" s="104"/>
      <c r="K8" s="95"/>
    </row>
    <row r="9" spans="1:13" ht="8.25" customHeight="1" x14ac:dyDescent="0.2">
      <c r="B9" s="105"/>
      <c r="C9" s="105"/>
      <c r="D9" s="105"/>
      <c r="E9" s="105"/>
      <c r="F9" s="105"/>
      <c r="G9" s="105"/>
      <c r="H9" s="105"/>
      <c r="I9" s="105"/>
      <c r="J9" s="105"/>
      <c r="K9" s="95"/>
      <c r="L9" s="188"/>
    </row>
    <row r="10" spans="1:13" ht="15" x14ac:dyDescent="0.2">
      <c r="B10" s="108" t="s">
        <v>347</v>
      </c>
      <c r="C10" s="108"/>
      <c r="D10" s="108"/>
      <c r="E10" s="108"/>
      <c r="F10" s="108"/>
      <c r="G10" s="108"/>
      <c r="H10" s="108"/>
      <c r="I10" s="108"/>
      <c r="J10" s="108"/>
      <c r="K10" s="95"/>
      <c r="L10" s="188"/>
    </row>
    <row r="11" spans="1:13" ht="15" x14ac:dyDescent="0.2">
      <c r="B11" s="108" t="s">
        <v>348</v>
      </c>
      <c r="C11" s="108"/>
      <c r="D11" s="108"/>
      <c r="E11" s="108"/>
      <c r="F11" s="108"/>
      <c r="G11" s="108"/>
      <c r="H11" s="108"/>
      <c r="I11" s="108"/>
      <c r="J11" s="108"/>
      <c r="K11" s="95"/>
      <c r="L11" s="188"/>
    </row>
    <row r="12" spans="1:13" ht="62.25" customHeight="1" x14ac:dyDescent="0.2">
      <c r="A12" s="36" t="s">
        <v>295</v>
      </c>
      <c r="B12" s="109" t="s">
        <v>349</v>
      </c>
      <c r="C12" s="109"/>
      <c r="D12" s="109"/>
      <c r="E12" s="109"/>
      <c r="F12" s="109"/>
      <c r="G12" s="109"/>
      <c r="H12" s="109"/>
      <c r="I12" s="109"/>
      <c r="J12" s="109"/>
      <c r="K12" s="95"/>
      <c r="L12" s="188"/>
      <c r="M12" s="54" t="s">
        <v>384</v>
      </c>
    </row>
    <row r="13" spans="1:13" ht="15" x14ac:dyDescent="0.2">
      <c r="A13" s="36" t="s">
        <v>296</v>
      </c>
      <c r="B13" s="6" t="s">
        <v>75</v>
      </c>
      <c r="D13" s="110" t="s">
        <v>77</v>
      </c>
      <c r="E13" s="110"/>
      <c r="F13" s="110"/>
      <c r="G13" s="110"/>
      <c r="H13" s="110"/>
      <c r="I13" s="110"/>
      <c r="K13" s="95"/>
      <c r="L13" s="188"/>
    </row>
    <row r="14" spans="1:13" ht="15" x14ac:dyDescent="0.2">
      <c r="A14" s="36" t="s">
        <v>289</v>
      </c>
      <c r="B14" s="111" t="s">
        <v>95</v>
      </c>
      <c r="C14" s="111"/>
      <c r="D14" s="106" t="str">
        <f>LEFT(D13,FIND(" ",D13)-1)</f>
        <v>3</v>
      </c>
      <c r="E14" s="106"/>
      <c r="F14" s="106"/>
      <c r="G14" s="106"/>
      <c r="K14" s="95"/>
      <c r="L14" s="188"/>
    </row>
    <row r="15" spans="1:13" ht="15" x14ac:dyDescent="0.2">
      <c r="A15" s="36" t="s">
        <v>290</v>
      </c>
      <c r="B15" s="51" t="s">
        <v>76</v>
      </c>
      <c r="D15" s="107" t="s">
        <v>350</v>
      </c>
      <c r="E15" s="107"/>
      <c r="F15" s="107"/>
      <c r="G15" s="107"/>
      <c r="H15" s="107"/>
      <c r="I15" s="107"/>
      <c r="J15" s="107"/>
      <c r="K15" s="95"/>
      <c r="L15" s="188"/>
    </row>
    <row r="16" spans="1:13" x14ac:dyDescent="0.2">
      <c r="B16" s="76"/>
      <c r="C16" s="76"/>
      <c r="D16" s="76"/>
      <c r="E16" s="76"/>
      <c r="F16" s="76"/>
      <c r="G16" s="76"/>
      <c r="H16" s="76"/>
      <c r="I16" s="76"/>
      <c r="J16" s="76"/>
      <c r="K16" s="39"/>
      <c r="L16" s="188"/>
    </row>
    <row r="17" spans="1:13" ht="72.75" customHeight="1" x14ac:dyDescent="0.2">
      <c r="B17" s="91" t="s">
        <v>326</v>
      </c>
      <c r="C17" s="91"/>
      <c r="D17" s="91"/>
      <c r="E17" s="91"/>
      <c r="F17" s="91"/>
      <c r="G17" s="91"/>
      <c r="H17" s="91"/>
      <c r="I17" s="91"/>
      <c r="J17" s="91"/>
      <c r="K17" s="39"/>
      <c r="L17" s="188"/>
    </row>
    <row r="18" spans="1:13" ht="15.75" x14ac:dyDescent="0.2">
      <c r="B18" s="92" t="s">
        <v>291</v>
      </c>
      <c r="C18" s="92"/>
      <c r="D18" s="92"/>
      <c r="E18" s="92"/>
      <c r="F18" s="92"/>
      <c r="G18" s="92"/>
      <c r="H18" s="92"/>
      <c r="I18" s="92"/>
      <c r="J18" s="92"/>
      <c r="K18" s="39"/>
      <c r="L18" s="189"/>
    </row>
    <row r="19" spans="1:13" ht="15" x14ac:dyDescent="0.2">
      <c r="A19" s="36" t="s">
        <v>118</v>
      </c>
      <c r="B19" s="93" t="s">
        <v>50</v>
      </c>
      <c r="C19" s="93"/>
      <c r="D19" s="93"/>
      <c r="E19" s="93"/>
      <c r="F19" s="93"/>
      <c r="G19" s="93"/>
      <c r="H19" s="93"/>
      <c r="I19" s="93"/>
      <c r="J19" s="93"/>
      <c r="K19" s="39"/>
      <c r="L19" s="189"/>
    </row>
    <row r="20" spans="1:13" ht="27" customHeight="1" x14ac:dyDescent="0.2">
      <c r="B20" s="56">
        <v>1</v>
      </c>
      <c r="C20" s="94" t="s">
        <v>376</v>
      </c>
      <c r="D20" s="94"/>
      <c r="E20" s="94"/>
      <c r="F20" s="94"/>
      <c r="G20" s="94"/>
      <c r="H20" s="94"/>
      <c r="I20" s="94"/>
      <c r="J20" s="94"/>
      <c r="K20" s="39"/>
      <c r="L20" s="189"/>
      <c r="M20" s="54" t="s">
        <v>385</v>
      </c>
    </row>
    <row r="21" spans="1:13" x14ac:dyDescent="0.2">
      <c r="B21" s="56">
        <v>2</v>
      </c>
      <c r="C21" s="94" t="s">
        <v>377</v>
      </c>
      <c r="D21" s="94"/>
      <c r="E21" s="94"/>
      <c r="F21" s="94"/>
      <c r="G21" s="94"/>
      <c r="H21" s="94"/>
      <c r="I21" s="94"/>
      <c r="J21" s="94"/>
      <c r="K21" s="39"/>
      <c r="L21" s="189"/>
    </row>
    <row r="22" spans="1:13" s="59" customFormat="1" ht="16.5" customHeight="1" x14ac:dyDescent="0.2">
      <c r="A22" s="9"/>
      <c r="B22" s="58">
        <v>3</v>
      </c>
      <c r="C22" s="94" t="s">
        <v>378</v>
      </c>
      <c r="D22" s="94"/>
      <c r="E22" s="94"/>
      <c r="F22" s="94"/>
      <c r="G22" s="94"/>
      <c r="H22" s="94"/>
      <c r="I22" s="94"/>
      <c r="J22" s="94"/>
      <c r="K22" s="39"/>
      <c r="L22" s="189"/>
    </row>
    <row r="23" spans="1:13" s="59" customFormat="1" ht="28.5" customHeight="1" x14ac:dyDescent="0.2">
      <c r="A23" s="9"/>
      <c r="B23" s="58">
        <v>4</v>
      </c>
      <c r="C23" s="94" t="s">
        <v>379</v>
      </c>
      <c r="D23" s="94"/>
      <c r="E23" s="94"/>
      <c r="F23" s="94"/>
      <c r="G23" s="94"/>
      <c r="H23" s="94"/>
      <c r="I23" s="94"/>
      <c r="J23" s="94"/>
      <c r="K23" s="39"/>
      <c r="L23" s="189"/>
    </row>
    <row r="24" spans="1:13" s="59" customFormat="1" x14ac:dyDescent="0.2">
      <c r="A24" s="9"/>
      <c r="B24" s="58">
        <v>5</v>
      </c>
      <c r="C24" s="94" t="s">
        <v>380</v>
      </c>
      <c r="D24" s="94"/>
      <c r="E24" s="94"/>
      <c r="F24" s="94"/>
      <c r="G24" s="94"/>
      <c r="H24" s="94"/>
      <c r="I24" s="94"/>
      <c r="J24" s="94"/>
      <c r="K24" s="39"/>
      <c r="L24" s="189"/>
    </row>
    <row r="25" spans="1:13" s="59" customFormat="1" x14ac:dyDescent="0.2">
      <c r="A25" s="9"/>
      <c r="B25" s="58">
        <v>6</v>
      </c>
      <c r="C25" s="94" t="s">
        <v>381</v>
      </c>
      <c r="D25" s="94"/>
      <c r="E25" s="94"/>
      <c r="F25" s="94"/>
      <c r="G25" s="94"/>
      <c r="H25" s="94"/>
      <c r="I25" s="94"/>
      <c r="J25" s="94"/>
      <c r="K25" s="39"/>
      <c r="L25" s="189"/>
    </row>
    <row r="26" spans="1:13" s="59" customFormat="1" x14ac:dyDescent="0.2">
      <c r="A26" s="9"/>
      <c r="B26" s="58">
        <v>7</v>
      </c>
      <c r="C26" s="94" t="s">
        <v>382</v>
      </c>
      <c r="D26" s="94"/>
      <c r="E26" s="94"/>
      <c r="F26" s="94"/>
      <c r="G26" s="94"/>
      <c r="H26" s="94"/>
      <c r="I26" s="94"/>
      <c r="J26" s="94"/>
      <c r="K26" s="39"/>
      <c r="L26" s="189"/>
    </row>
    <row r="27" spans="1:13" ht="15" x14ac:dyDescent="0.2">
      <c r="A27" s="36" t="s">
        <v>297</v>
      </c>
      <c r="B27" s="76"/>
      <c r="C27" s="76"/>
      <c r="D27" s="76"/>
      <c r="E27" s="76"/>
      <c r="F27" s="76"/>
      <c r="G27" s="76"/>
      <c r="H27" s="76"/>
      <c r="I27" s="76"/>
      <c r="J27" s="76"/>
      <c r="K27" s="39"/>
      <c r="L27" s="189"/>
    </row>
    <row r="28" spans="1:13" ht="60.75" customHeight="1" x14ac:dyDescent="0.2">
      <c r="B28" s="85" t="s">
        <v>54</v>
      </c>
      <c r="C28" s="85"/>
      <c r="D28" s="85"/>
      <c r="E28" s="85"/>
      <c r="F28" s="85"/>
      <c r="G28" s="85"/>
      <c r="H28" s="85"/>
      <c r="I28" s="85"/>
      <c r="J28" s="85"/>
      <c r="K28" s="39"/>
      <c r="L28" s="189"/>
    </row>
    <row r="29" spans="1:13" ht="15" x14ac:dyDescent="0.2">
      <c r="A29" s="37" t="s">
        <v>120</v>
      </c>
      <c r="B29" s="86" t="s">
        <v>288</v>
      </c>
      <c r="C29" s="87"/>
      <c r="D29" s="88" t="s">
        <v>11</v>
      </c>
      <c r="E29" s="89"/>
      <c r="F29" s="89"/>
      <c r="G29" s="89"/>
      <c r="H29" s="88" t="s">
        <v>114</v>
      </c>
      <c r="I29" s="89"/>
      <c r="J29" s="90"/>
      <c r="K29" s="39"/>
      <c r="L29" s="189"/>
    </row>
    <row r="30" spans="1:13" x14ac:dyDescent="0.2">
      <c r="B30" s="81">
        <v>1</v>
      </c>
      <c r="C30" s="81"/>
      <c r="D30" s="82" t="s">
        <v>108</v>
      </c>
      <c r="E30" s="83"/>
      <c r="F30" s="83"/>
      <c r="G30" s="84"/>
      <c r="H30" s="81" t="s">
        <v>117</v>
      </c>
      <c r="I30" s="81"/>
      <c r="J30" s="81"/>
      <c r="K30" s="39"/>
      <c r="L30" s="189"/>
    </row>
    <row r="31" spans="1:13" s="59" customFormat="1" x14ac:dyDescent="0.2">
      <c r="A31" s="9"/>
      <c r="B31" s="81">
        <v>2</v>
      </c>
      <c r="C31" s="81"/>
      <c r="D31" s="82" t="s">
        <v>111</v>
      </c>
      <c r="E31" s="83"/>
      <c r="F31" s="83"/>
      <c r="G31" s="84"/>
      <c r="H31" s="81" t="s">
        <v>117</v>
      </c>
      <c r="I31" s="81"/>
      <c r="J31" s="81"/>
      <c r="K31" s="39"/>
      <c r="L31" s="189"/>
    </row>
    <row r="32" spans="1:13" s="59" customFormat="1" x14ac:dyDescent="0.2">
      <c r="A32" s="9"/>
      <c r="B32" s="81">
        <v>3</v>
      </c>
      <c r="C32" s="81"/>
      <c r="D32" s="82" t="s">
        <v>109</v>
      </c>
      <c r="E32" s="83"/>
      <c r="F32" s="83"/>
      <c r="G32" s="84"/>
      <c r="H32" s="81" t="s">
        <v>117</v>
      </c>
      <c r="I32" s="81"/>
      <c r="J32" s="81"/>
      <c r="K32" s="39"/>
      <c r="L32" s="189"/>
    </row>
    <row r="33" spans="1:12" s="59" customFormat="1" x14ac:dyDescent="0.2">
      <c r="A33" s="9"/>
      <c r="B33" s="81">
        <v>4</v>
      </c>
      <c r="C33" s="81"/>
      <c r="D33" s="82" t="s">
        <v>112</v>
      </c>
      <c r="E33" s="83"/>
      <c r="F33" s="83"/>
      <c r="G33" s="84"/>
      <c r="H33" s="81" t="s">
        <v>117</v>
      </c>
      <c r="I33" s="81"/>
      <c r="J33" s="81"/>
      <c r="K33" s="39"/>
      <c r="L33" s="189"/>
    </row>
    <row r="34" spans="1:12" s="59" customFormat="1" x14ac:dyDescent="0.2">
      <c r="A34" s="9"/>
      <c r="B34" s="81">
        <v>5</v>
      </c>
      <c r="C34" s="81"/>
      <c r="D34" s="82" t="s">
        <v>111</v>
      </c>
      <c r="E34" s="83"/>
      <c r="F34" s="83"/>
      <c r="G34" s="84"/>
      <c r="H34" s="81" t="s">
        <v>117</v>
      </c>
      <c r="I34" s="81"/>
      <c r="J34" s="81"/>
      <c r="K34" s="39"/>
      <c r="L34" s="189"/>
    </row>
    <row r="35" spans="1:12" s="59" customFormat="1" x14ac:dyDescent="0.2">
      <c r="A35" s="9"/>
      <c r="B35" s="81">
        <v>6</v>
      </c>
      <c r="C35" s="81"/>
      <c r="D35" s="82" t="s">
        <v>110</v>
      </c>
      <c r="E35" s="83"/>
      <c r="F35" s="83"/>
      <c r="G35" s="84"/>
      <c r="H35" s="81" t="s">
        <v>116</v>
      </c>
      <c r="I35" s="81"/>
      <c r="J35" s="81"/>
      <c r="K35" s="39"/>
      <c r="L35" s="189"/>
    </row>
    <row r="36" spans="1:12" x14ac:dyDescent="0.2">
      <c r="B36" s="81">
        <v>7</v>
      </c>
      <c r="C36" s="81"/>
      <c r="D36" s="82" t="s">
        <v>112</v>
      </c>
      <c r="E36" s="83"/>
      <c r="F36" s="83"/>
      <c r="G36" s="84"/>
      <c r="H36" s="81" t="s">
        <v>116</v>
      </c>
      <c r="I36" s="81"/>
      <c r="J36" s="81"/>
      <c r="K36" s="39"/>
      <c r="L36" s="189"/>
    </row>
    <row r="37" spans="1:12" ht="15" x14ac:dyDescent="0.2">
      <c r="A37" s="37" t="s">
        <v>119</v>
      </c>
      <c r="B37" s="112"/>
      <c r="C37" s="112"/>
      <c r="D37" s="112"/>
      <c r="E37" s="112"/>
      <c r="F37" s="112"/>
      <c r="G37" s="112"/>
      <c r="H37" s="112"/>
      <c r="I37" s="112"/>
      <c r="J37" s="112"/>
      <c r="K37" s="39"/>
      <c r="L37" s="189"/>
    </row>
    <row r="38" spans="1:12" x14ac:dyDescent="0.2">
      <c r="B38" s="44" t="s">
        <v>55</v>
      </c>
      <c r="C38" s="55"/>
      <c r="D38" s="55"/>
      <c r="E38" s="55"/>
      <c r="F38" s="55"/>
      <c r="G38" s="55"/>
      <c r="H38" s="55"/>
      <c r="I38" s="55"/>
      <c r="J38" s="55"/>
      <c r="K38" s="39"/>
      <c r="L38" s="189"/>
    </row>
    <row r="39" spans="1:12" x14ac:dyDescent="0.2">
      <c r="B39" s="45" t="s">
        <v>56</v>
      </c>
      <c r="C39" s="55"/>
      <c r="D39" s="55"/>
      <c r="E39" s="55"/>
      <c r="F39" s="55"/>
      <c r="G39" s="46" t="s">
        <v>62</v>
      </c>
      <c r="H39" s="55"/>
      <c r="I39" s="55"/>
      <c r="J39" s="55"/>
      <c r="K39" s="39"/>
      <c r="L39" s="189"/>
    </row>
    <row r="40" spans="1:12" x14ac:dyDescent="0.2">
      <c r="B40" s="44" t="s">
        <v>57</v>
      </c>
      <c r="C40" s="55"/>
      <c r="D40" s="55"/>
      <c r="E40" s="55"/>
      <c r="F40" s="55"/>
      <c r="G40" s="46" t="s">
        <v>63</v>
      </c>
      <c r="H40" s="55"/>
      <c r="I40" s="55"/>
      <c r="J40" s="55"/>
      <c r="K40" s="39"/>
      <c r="L40" s="189"/>
    </row>
    <row r="41" spans="1:12" x14ac:dyDescent="0.2">
      <c r="B41" s="44" t="s">
        <v>58</v>
      </c>
      <c r="C41" s="55"/>
      <c r="D41" s="55"/>
      <c r="E41" s="55"/>
      <c r="F41" s="55"/>
      <c r="G41" s="46" t="s">
        <v>64</v>
      </c>
      <c r="H41" s="55"/>
      <c r="I41" s="55"/>
      <c r="J41" s="55"/>
      <c r="K41" s="39"/>
      <c r="L41" s="189"/>
    </row>
    <row r="42" spans="1:12" x14ac:dyDescent="0.2">
      <c r="B42" s="44" t="s">
        <v>59</v>
      </c>
      <c r="C42" s="55"/>
      <c r="D42" s="55"/>
      <c r="E42" s="55"/>
      <c r="F42" s="55"/>
      <c r="G42" s="46" t="s">
        <v>65</v>
      </c>
      <c r="H42" s="55"/>
      <c r="I42" s="55"/>
      <c r="J42" s="55"/>
      <c r="K42" s="39"/>
      <c r="L42" s="189"/>
    </row>
    <row r="43" spans="1:12" x14ac:dyDescent="0.2">
      <c r="B43" s="44" t="s">
        <v>60</v>
      </c>
      <c r="C43" s="55"/>
      <c r="D43" s="55"/>
      <c r="E43" s="55"/>
      <c r="F43" s="55"/>
      <c r="G43" s="46" t="s">
        <v>66</v>
      </c>
      <c r="H43" s="55"/>
      <c r="I43" s="55"/>
      <c r="J43" s="55"/>
      <c r="K43" s="39"/>
      <c r="L43" s="189"/>
    </row>
    <row r="44" spans="1:12" x14ac:dyDescent="0.2">
      <c r="B44" s="44" t="s">
        <v>61</v>
      </c>
      <c r="C44" s="55"/>
      <c r="D44" s="55"/>
      <c r="E44" s="55"/>
      <c r="F44" s="55"/>
      <c r="G44" s="46" t="s">
        <v>67</v>
      </c>
      <c r="H44" s="55"/>
      <c r="I44" s="55"/>
      <c r="J44" s="55"/>
      <c r="K44" s="39"/>
      <c r="L44" s="189"/>
    </row>
    <row r="45" spans="1:12" x14ac:dyDescent="0.2">
      <c r="B45" s="55"/>
      <c r="C45" s="55"/>
      <c r="D45" s="55"/>
      <c r="E45" s="55"/>
      <c r="F45" s="55"/>
      <c r="G45" s="55"/>
      <c r="H45" s="55"/>
      <c r="I45" s="55"/>
      <c r="J45" s="55"/>
      <c r="K45" s="39"/>
      <c r="L45" s="189"/>
    </row>
    <row r="46" spans="1:12" x14ac:dyDescent="0.2">
      <c r="B46" s="44" t="s">
        <v>68</v>
      </c>
      <c r="C46" s="44"/>
      <c r="D46" s="46"/>
      <c r="E46" s="46"/>
      <c r="F46" s="55"/>
      <c r="G46" s="55"/>
      <c r="H46" s="55"/>
      <c r="I46" s="55"/>
      <c r="J46" s="55"/>
      <c r="K46" s="39"/>
      <c r="L46" s="189"/>
    </row>
    <row r="47" spans="1:12" x14ac:dyDescent="0.2">
      <c r="B47" s="44"/>
      <c r="C47" s="44" t="s">
        <v>69</v>
      </c>
      <c r="D47" s="46"/>
      <c r="E47" s="46" t="s">
        <v>72</v>
      </c>
      <c r="F47" s="55"/>
      <c r="G47" s="55"/>
      <c r="H47" s="55"/>
      <c r="I47" s="55"/>
      <c r="J47" s="55"/>
      <c r="K47" s="39"/>
      <c r="L47" s="189"/>
    </row>
    <row r="48" spans="1:12" x14ac:dyDescent="0.2">
      <c r="B48" s="44"/>
      <c r="C48" s="44" t="s">
        <v>70</v>
      </c>
      <c r="D48" s="46"/>
      <c r="E48" s="46" t="s">
        <v>73</v>
      </c>
      <c r="F48" s="55"/>
      <c r="G48" s="55"/>
      <c r="H48" s="55"/>
      <c r="I48" s="55"/>
      <c r="J48" s="55"/>
      <c r="K48" s="39"/>
      <c r="L48" s="189"/>
    </row>
    <row r="49" spans="1:12" x14ac:dyDescent="0.2">
      <c r="B49" s="44"/>
      <c r="C49" s="44" t="s">
        <v>71</v>
      </c>
      <c r="D49" s="46"/>
      <c r="E49" s="46" t="s">
        <v>74</v>
      </c>
      <c r="F49" s="55"/>
      <c r="G49" s="55"/>
      <c r="H49" s="55"/>
      <c r="I49" s="55"/>
      <c r="J49" s="55"/>
      <c r="K49" s="39"/>
      <c r="L49" s="189"/>
    </row>
    <row r="50" spans="1:12" x14ac:dyDescent="0.2">
      <c r="B50" s="55"/>
      <c r="C50" s="55"/>
      <c r="D50" s="55"/>
      <c r="E50" s="55"/>
      <c r="F50" s="55"/>
      <c r="G50" s="55"/>
      <c r="H50" s="55"/>
      <c r="I50" s="55"/>
      <c r="J50" s="55"/>
      <c r="K50" s="39"/>
      <c r="L50" s="189"/>
    </row>
    <row r="51" spans="1:12" ht="15" x14ac:dyDescent="0.25">
      <c r="B51" s="48" t="s">
        <v>131</v>
      </c>
      <c r="C51" s="55"/>
      <c r="D51" s="55"/>
      <c r="E51" s="55"/>
      <c r="F51" s="55"/>
      <c r="G51" s="55"/>
      <c r="H51" s="55"/>
      <c r="I51" s="55"/>
      <c r="J51" s="55"/>
      <c r="K51" s="39"/>
      <c r="L51" s="189"/>
    </row>
    <row r="52" spans="1:12" x14ac:dyDescent="0.2">
      <c r="B52" s="55" t="s">
        <v>106</v>
      </c>
      <c r="C52" s="55"/>
      <c r="D52" s="55"/>
      <c r="E52" s="55"/>
      <c r="F52" s="55"/>
      <c r="G52" s="55"/>
      <c r="H52" s="55"/>
      <c r="I52" s="55"/>
      <c r="J52" s="55"/>
      <c r="K52" s="39"/>
      <c r="L52" s="189"/>
    </row>
    <row r="53" spans="1:12" ht="14.25" customHeight="1" x14ac:dyDescent="0.2">
      <c r="B53" s="113" t="s">
        <v>332</v>
      </c>
      <c r="C53" s="113"/>
      <c r="D53" s="114" t="s">
        <v>333</v>
      </c>
      <c r="E53" s="115"/>
      <c r="F53" s="120" t="s">
        <v>333</v>
      </c>
      <c r="G53" s="120"/>
      <c r="H53" s="120" t="s">
        <v>5</v>
      </c>
      <c r="I53" s="120"/>
      <c r="J53" s="55"/>
      <c r="K53" s="39"/>
      <c r="L53" s="189"/>
    </row>
    <row r="54" spans="1:12" x14ac:dyDescent="0.2">
      <c r="B54" s="113"/>
      <c r="C54" s="113"/>
      <c r="D54" s="116"/>
      <c r="E54" s="117"/>
      <c r="F54" s="120"/>
      <c r="G54" s="120"/>
      <c r="H54" s="120"/>
      <c r="I54" s="120"/>
      <c r="J54" s="55"/>
      <c r="K54" s="39"/>
      <c r="L54" s="189"/>
    </row>
    <row r="55" spans="1:12" x14ac:dyDescent="0.2">
      <c r="B55" s="113"/>
      <c r="C55" s="113"/>
      <c r="D55" s="118"/>
      <c r="E55" s="119"/>
      <c r="F55" s="120"/>
      <c r="G55" s="120"/>
      <c r="H55" s="120"/>
      <c r="I55" s="120"/>
      <c r="J55" s="55"/>
      <c r="K55" s="39"/>
      <c r="L55" s="189"/>
    </row>
    <row r="56" spans="1:12" ht="15" x14ac:dyDescent="0.2">
      <c r="A56" s="37" t="s">
        <v>287</v>
      </c>
      <c r="B56" s="77" t="s">
        <v>0</v>
      </c>
      <c r="C56" s="77"/>
      <c r="D56" s="78"/>
      <c r="E56" s="79"/>
      <c r="F56" s="80"/>
      <c r="G56" s="80"/>
      <c r="H56" s="78"/>
      <c r="I56" s="79"/>
      <c r="J56" s="55"/>
      <c r="K56" s="39"/>
      <c r="L56" s="189"/>
    </row>
    <row r="57" spans="1:12" x14ac:dyDescent="0.2">
      <c r="B57" s="77" t="s">
        <v>1</v>
      </c>
      <c r="C57" s="77"/>
      <c r="D57" s="78"/>
      <c r="E57" s="79"/>
      <c r="F57" s="80"/>
      <c r="G57" s="80"/>
      <c r="H57" s="78"/>
      <c r="I57" s="79"/>
      <c r="J57" s="55"/>
      <c r="K57" s="39"/>
      <c r="L57" s="189"/>
    </row>
    <row r="58" spans="1:12" ht="27.75" customHeight="1" x14ac:dyDescent="0.2">
      <c r="B58" s="128" t="s">
        <v>2</v>
      </c>
      <c r="C58" s="128"/>
      <c r="D58" s="78"/>
      <c r="E58" s="79"/>
      <c r="F58" s="80"/>
      <c r="G58" s="80"/>
      <c r="H58" s="78"/>
      <c r="I58" s="79"/>
      <c r="J58" s="55"/>
      <c r="K58" s="39"/>
      <c r="L58" s="189"/>
    </row>
    <row r="59" spans="1:12" ht="25.5" customHeight="1" x14ac:dyDescent="0.2">
      <c r="B59" s="128" t="s">
        <v>3</v>
      </c>
      <c r="C59" s="128"/>
      <c r="D59" s="121"/>
      <c r="E59" s="122"/>
      <c r="F59" s="123"/>
      <c r="G59" s="123"/>
      <c r="H59" s="78">
        <v>75</v>
      </c>
      <c r="I59" s="79"/>
      <c r="J59" s="55"/>
      <c r="K59" s="39"/>
      <c r="L59" s="189"/>
    </row>
    <row r="60" spans="1:12" x14ac:dyDescent="0.2">
      <c r="B60" s="77" t="s">
        <v>4</v>
      </c>
      <c r="C60" s="77"/>
      <c r="D60" s="121"/>
      <c r="E60" s="122"/>
      <c r="F60" s="123"/>
      <c r="G60" s="123"/>
      <c r="H60" s="78">
        <v>25</v>
      </c>
      <c r="I60" s="79"/>
      <c r="J60" s="55"/>
      <c r="K60" s="39"/>
      <c r="L60" s="189"/>
    </row>
    <row r="61" spans="1:12" ht="15" x14ac:dyDescent="0.25">
      <c r="B61" s="47" t="s">
        <v>107</v>
      </c>
      <c r="C61" s="55"/>
      <c r="D61" s="55"/>
      <c r="E61" s="55"/>
      <c r="F61" s="55"/>
      <c r="G61" s="55"/>
      <c r="H61" s="55"/>
      <c r="I61" s="55"/>
      <c r="J61" s="55"/>
      <c r="K61" s="39"/>
      <c r="L61" s="189"/>
    </row>
    <row r="62" spans="1:12" x14ac:dyDescent="0.2">
      <c r="B62" s="55"/>
      <c r="C62" s="55"/>
      <c r="D62" s="55"/>
      <c r="E62" s="55"/>
      <c r="F62" s="55"/>
      <c r="G62" s="55"/>
      <c r="H62" s="55"/>
      <c r="I62" s="55"/>
      <c r="J62" s="55"/>
      <c r="K62" s="39"/>
      <c r="L62" s="189"/>
    </row>
    <row r="63" spans="1:12" ht="33.75" customHeight="1" x14ac:dyDescent="0.2">
      <c r="B63" s="85" t="s">
        <v>325</v>
      </c>
      <c r="C63" s="85"/>
      <c r="D63" s="85"/>
      <c r="E63" s="85"/>
      <c r="F63" s="85"/>
      <c r="G63" s="85"/>
      <c r="H63" s="85"/>
      <c r="I63" s="85"/>
      <c r="J63" s="85"/>
      <c r="K63" s="39"/>
      <c r="L63" s="189"/>
    </row>
    <row r="64" spans="1:12" ht="15" x14ac:dyDescent="0.25">
      <c r="B64" s="48" t="s">
        <v>132</v>
      </c>
      <c r="C64" s="55"/>
      <c r="D64" s="55"/>
      <c r="E64" s="55"/>
      <c r="F64" s="55"/>
      <c r="G64" s="55"/>
      <c r="H64" s="55"/>
      <c r="I64" s="55"/>
      <c r="J64" s="55"/>
      <c r="K64" s="39"/>
      <c r="L64" s="189"/>
    </row>
    <row r="65" spans="1:13" ht="28.5" customHeight="1" x14ac:dyDescent="0.2">
      <c r="B65" s="55"/>
      <c r="C65" s="124" t="s">
        <v>96</v>
      </c>
      <c r="D65" s="125"/>
      <c r="E65" s="124" t="s">
        <v>97</v>
      </c>
      <c r="F65" s="125"/>
      <c r="G65" s="126" t="s">
        <v>105</v>
      </c>
      <c r="H65" s="127"/>
      <c r="I65" s="55"/>
      <c r="J65" s="55"/>
      <c r="K65" s="39"/>
      <c r="L65" s="189"/>
    </row>
    <row r="66" spans="1:13" ht="15" x14ac:dyDescent="0.2">
      <c r="A66" s="37" t="s">
        <v>285</v>
      </c>
      <c r="B66" s="49" t="s">
        <v>98</v>
      </c>
      <c r="C66" s="80">
        <v>1</v>
      </c>
      <c r="D66" s="80"/>
      <c r="E66" s="80">
        <v>3</v>
      </c>
      <c r="F66" s="80"/>
      <c r="G66" s="80"/>
      <c r="H66" s="80"/>
      <c r="I66" s="55"/>
      <c r="J66" s="55"/>
      <c r="K66" s="39"/>
      <c r="L66" s="189"/>
    </row>
    <row r="67" spans="1:13" x14ac:dyDescent="0.2">
      <c r="B67" s="49" t="s">
        <v>99</v>
      </c>
      <c r="C67" s="80"/>
      <c r="D67" s="80"/>
      <c r="E67" s="80"/>
      <c r="F67" s="80"/>
      <c r="G67" s="80"/>
      <c r="H67" s="80"/>
      <c r="I67" s="55"/>
      <c r="J67" s="55"/>
      <c r="K67" s="39"/>
      <c r="L67" s="189"/>
    </row>
    <row r="68" spans="1:13" ht="15" x14ac:dyDescent="0.2">
      <c r="A68" s="37" t="s">
        <v>286</v>
      </c>
      <c r="B68" s="49" t="s">
        <v>39</v>
      </c>
      <c r="C68" s="80">
        <v>1</v>
      </c>
      <c r="D68" s="80"/>
      <c r="E68" s="80">
        <v>2</v>
      </c>
      <c r="F68" s="80"/>
      <c r="G68" s="80" t="s">
        <v>37</v>
      </c>
      <c r="H68" s="80"/>
      <c r="I68" s="55"/>
      <c r="J68" s="55"/>
      <c r="K68" s="39"/>
      <c r="L68" s="189"/>
    </row>
    <row r="69" spans="1:13" x14ac:dyDescent="0.2">
      <c r="B69" s="55"/>
      <c r="C69" s="55"/>
      <c r="D69" s="55"/>
      <c r="E69" s="55"/>
      <c r="F69" s="55"/>
      <c r="G69" s="55"/>
      <c r="H69" s="55"/>
      <c r="I69" s="55"/>
      <c r="J69" s="55"/>
      <c r="K69" s="39"/>
      <c r="L69" s="189"/>
    </row>
    <row r="70" spans="1:13" ht="15" x14ac:dyDescent="0.25">
      <c r="B70" s="48" t="s">
        <v>104</v>
      </c>
      <c r="C70" s="55"/>
      <c r="D70" s="55"/>
      <c r="E70" s="55"/>
      <c r="F70" s="55"/>
      <c r="G70" s="55"/>
      <c r="H70" s="55"/>
      <c r="I70" s="55"/>
      <c r="J70" s="55"/>
      <c r="K70" s="39"/>
      <c r="L70" s="189"/>
    </row>
    <row r="71" spans="1:13" x14ac:dyDescent="0.2">
      <c r="B71" s="55" t="s">
        <v>133</v>
      </c>
      <c r="C71" s="55"/>
      <c r="D71" s="55"/>
      <c r="E71" s="55"/>
      <c r="F71" s="55"/>
      <c r="G71" s="55"/>
      <c r="H71" s="55"/>
      <c r="I71" s="55"/>
      <c r="J71" s="55"/>
      <c r="K71" s="39"/>
      <c r="L71" s="187"/>
    </row>
    <row r="72" spans="1:13" ht="15" x14ac:dyDescent="0.2">
      <c r="A72" s="37" t="s">
        <v>283</v>
      </c>
      <c r="B72" s="129" t="s">
        <v>100</v>
      </c>
      <c r="C72" s="130"/>
      <c r="D72" s="131" t="s">
        <v>43</v>
      </c>
      <c r="E72" s="131"/>
      <c r="F72" s="55"/>
      <c r="G72" s="55"/>
      <c r="H72" s="55"/>
      <c r="I72" s="55"/>
      <c r="J72" s="55"/>
      <c r="K72" s="39"/>
      <c r="L72" s="187"/>
    </row>
    <row r="73" spans="1:13" ht="15" x14ac:dyDescent="0.2">
      <c r="A73" s="37"/>
      <c r="B73" s="129" t="s">
        <v>101</v>
      </c>
      <c r="C73" s="130"/>
      <c r="D73" s="131">
        <v>12</v>
      </c>
      <c r="E73" s="131"/>
      <c r="F73" s="55" t="s">
        <v>334</v>
      </c>
      <c r="G73" s="55"/>
      <c r="H73" s="55"/>
      <c r="I73" s="55"/>
      <c r="J73" s="55"/>
      <c r="K73" s="39"/>
      <c r="L73" s="187"/>
    </row>
    <row r="74" spans="1:13" ht="15" x14ac:dyDescent="0.2">
      <c r="A74" s="37"/>
      <c r="B74" s="129" t="s">
        <v>102</v>
      </c>
      <c r="C74" s="130"/>
      <c r="D74" s="131" t="s">
        <v>12</v>
      </c>
      <c r="E74" s="131"/>
      <c r="F74" s="55"/>
      <c r="G74" s="55"/>
      <c r="H74" s="55"/>
      <c r="I74" s="55"/>
      <c r="J74" s="55"/>
      <c r="K74" s="39"/>
      <c r="L74" s="187"/>
    </row>
    <row r="75" spans="1:13" ht="15" x14ac:dyDescent="0.2">
      <c r="A75" s="37" t="s">
        <v>284</v>
      </c>
      <c r="B75" s="129" t="s">
        <v>103</v>
      </c>
      <c r="C75" s="130"/>
      <c r="D75" s="131" t="s">
        <v>13</v>
      </c>
      <c r="E75" s="131"/>
      <c r="F75" s="55"/>
      <c r="G75" s="55"/>
      <c r="H75" s="55"/>
      <c r="I75" s="55"/>
      <c r="J75" s="55"/>
      <c r="K75" s="39"/>
      <c r="L75" s="187"/>
    </row>
    <row r="76" spans="1:13" x14ac:dyDescent="0.2">
      <c r="B76" s="55"/>
      <c r="C76" s="55"/>
      <c r="D76" s="55"/>
      <c r="E76" s="55"/>
      <c r="F76" s="55"/>
      <c r="G76" s="55"/>
      <c r="H76" s="55"/>
      <c r="I76" s="55"/>
      <c r="J76" s="55"/>
      <c r="K76" s="39"/>
      <c r="L76" s="187"/>
    </row>
    <row r="77" spans="1:13" ht="46.5" customHeight="1" x14ac:dyDescent="0.2">
      <c r="B77" s="85" t="s">
        <v>339</v>
      </c>
      <c r="C77" s="85"/>
      <c r="D77" s="85"/>
      <c r="E77" s="85"/>
      <c r="F77" s="85"/>
      <c r="G77" s="85"/>
      <c r="H77" s="85"/>
      <c r="I77" s="85"/>
      <c r="J77" s="85"/>
      <c r="K77" s="35"/>
      <c r="L77" s="187"/>
      <c r="M77" s="54" t="s">
        <v>386</v>
      </c>
    </row>
    <row r="78" spans="1:13" ht="16.5" customHeight="1" x14ac:dyDescent="0.2">
      <c r="B78" s="138" t="s">
        <v>45</v>
      </c>
      <c r="C78" s="138"/>
      <c r="D78" s="138"/>
      <c r="E78" s="138"/>
      <c r="F78" s="138"/>
      <c r="G78" s="138"/>
      <c r="H78" s="138"/>
      <c r="I78" s="138"/>
      <c r="J78" s="138"/>
      <c r="K78" s="35"/>
    </row>
    <row r="79" spans="1:13" ht="15" x14ac:dyDescent="0.25">
      <c r="A79" s="36" t="s">
        <v>121</v>
      </c>
      <c r="B79" s="132" t="s">
        <v>6</v>
      </c>
      <c r="C79" s="132"/>
      <c r="D79" s="132" t="s">
        <v>303</v>
      </c>
      <c r="E79" s="132"/>
      <c r="F79" s="132" t="s">
        <v>302</v>
      </c>
      <c r="G79" s="132"/>
      <c r="H79" s="132"/>
      <c r="I79" s="133" t="s">
        <v>7</v>
      </c>
      <c r="J79" s="134"/>
      <c r="K79" s="50"/>
    </row>
    <row r="80" spans="1:13" s="61" customFormat="1" ht="15" x14ac:dyDescent="0.25">
      <c r="A80" s="62"/>
      <c r="B80" s="135" t="s">
        <v>359</v>
      </c>
      <c r="C80" s="136"/>
      <c r="D80" s="135" t="s">
        <v>360</v>
      </c>
      <c r="E80" s="136"/>
      <c r="F80" s="137" t="s">
        <v>361</v>
      </c>
      <c r="G80" s="137"/>
      <c r="H80" s="137"/>
      <c r="I80" s="135" t="s">
        <v>362</v>
      </c>
      <c r="J80" s="136"/>
      <c r="K80" s="66"/>
    </row>
    <row r="81" spans="1:11" ht="15" x14ac:dyDescent="0.25">
      <c r="B81" s="135" t="s">
        <v>363</v>
      </c>
      <c r="C81" s="136"/>
      <c r="D81" s="135" t="s">
        <v>366</v>
      </c>
      <c r="E81" s="136"/>
      <c r="F81" s="137" t="s">
        <v>365</v>
      </c>
      <c r="G81" s="137"/>
      <c r="H81" s="137"/>
      <c r="I81" s="135" t="s">
        <v>364</v>
      </c>
      <c r="J81" s="136"/>
      <c r="K81" s="50"/>
    </row>
    <row r="82" spans="1:11" ht="15" x14ac:dyDescent="0.2">
      <c r="A82" s="37" t="s">
        <v>122</v>
      </c>
      <c r="B82" s="139"/>
      <c r="C82" s="139"/>
      <c r="D82" s="139"/>
      <c r="E82" s="139"/>
      <c r="F82" s="139"/>
      <c r="G82" s="139"/>
      <c r="H82" s="139"/>
      <c r="I82" s="139"/>
      <c r="J82" s="139"/>
      <c r="K82" s="39"/>
    </row>
    <row r="83" spans="1:11" ht="34.5" customHeight="1" x14ac:dyDescent="0.2">
      <c r="B83" s="85" t="s">
        <v>328</v>
      </c>
      <c r="C83" s="85"/>
      <c r="D83" s="85"/>
      <c r="E83" s="85"/>
      <c r="F83" s="85"/>
      <c r="G83" s="85"/>
      <c r="H83" s="85"/>
      <c r="I83" s="85"/>
      <c r="J83" s="85"/>
      <c r="K83" s="35"/>
    </row>
    <row r="84" spans="1:11" ht="18" customHeight="1" x14ac:dyDescent="0.2">
      <c r="B84" s="145" t="s">
        <v>46</v>
      </c>
      <c r="C84" s="145"/>
      <c r="D84" s="145"/>
      <c r="E84" s="145"/>
      <c r="F84" s="145"/>
      <c r="G84" s="145"/>
      <c r="H84" s="145"/>
      <c r="I84" s="145"/>
      <c r="J84" s="145"/>
      <c r="K84" s="35"/>
    </row>
    <row r="85" spans="1:11" ht="15.75" customHeight="1" x14ac:dyDescent="0.2">
      <c r="B85" s="146" t="s">
        <v>375</v>
      </c>
      <c r="C85" s="146"/>
      <c r="D85" s="146"/>
      <c r="E85" s="146"/>
      <c r="F85" s="146"/>
      <c r="G85" s="146"/>
      <c r="H85" s="146"/>
      <c r="I85" s="146"/>
      <c r="J85" s="146"/>
      <c r="K85" s="35"/>
    </row>
    <row r="86" spans="1:11" ht="25.5" x14ac:dyDescent="0.25">
      <c r="A86" s="36" t="s">
        <v>123</v>
      </c>
      <c r="B86" s="70" t="s">
        <v>6</v>
      </c>
      <c r="C86" s="71" t="s">
        <v>281</v>
      </c>
      <c r="D86" s="69" t="s">
        <v>280</v>
      </c>
      <c r="E86" s="147" t="s">
        <v>8</v>
      </c>
      <c r="F86" s="148"/>
      <c r="G86" s="70" t="s">
        <v>9</v>
      </c>
      <c r="H86" s="149" t="s">
        <v>10</v>
      </c>
      <c r="I86" s="149"/>
      <c r="J86" s="149"/>
      <c r="K86" s="50"/>
    </row>
    <row r="87" spans="1:11" ht="15" x14ac:dyDescent="0.25">
      <c r="B87" s="72">
        <v>1</v>
      </c>
      <c r="C87" s="74" t="s">
        <v>351</v>
      </c>
      <c r="D87" s="73" t="s">
        <v>352</v>
      </c>
      <c r="E87" s="141" t="s">
        <v>353</v>
      </c>
      <c r="F87" s="142"/>
      <c r="G87" s="72" t="s">
        <v>354</v>
      </c>
      <c r="H87" s="143" t="s">
        <v>355</v>
      </c>
      <c r="I87" s="144"/>
      <c r="J87" s="144"/>
      <c r="K87" s="50"/>
    </row>
    <row r="88" spans="1:11" ht="15" x14ac:dyDescent="0.2">
      <c r="A88" s="36" t="s">
        <v>124</v>
      </c>
      <c r="B88" s="139"/>
      <c r="C88" s="139"/>
      <c r="D88" s="139"/>
      <c r="E88" s="139"/>
      <c r="F88" s="139"/>
      <c r="G88" s="139"/>
      <c r="H88" s="139"/>
      <c r="I88" s="139"/>
      <c r="J88" s="139"/>
      <c r="K88" s="39"/>
    </row>
    <row r="89" spans="1:11" ht="15" customHeight="1" x14ac:dyDescent="0.2">
      <c r="B89" s="139"/>
      <c r="C89" s="139"/>
      <c r="D89" s="139"/>
      <c r="E89" s="139"/>
      <c r="F89" s="139"/>
      <c r="G89" s="139"/>
      <c r="H89" s="139"/>
      <c r="I89" s="139"/>
      <c r="J89" s="139"/>
      <c r="K89" s="35"/>
    </row>
    <row r="90" spans="1:11" ht="15" customHeight="1" x14ac:dyDescent="0.2">
      <c r="A90" s="36" t="s">
        <v>125</v>
      </c>
      <c r="B90" s="139"/>
      <c r="C90" s="139"/>
      <c r="D90" s="139"/>
      <c r="E90" s="139"/>
      <c r="F90" s="139"/>
      <c r="G90" s="139"/>
      <c r="H90" s="139"/>
      <c r="I90" s="139"/>
      <c r="J90" s="139"/>
      <c r="K90" s="39"/>
    </row>
    <row r="91" spans="1:11" x14ac:dyDescent="0.2">
      <c r="B91" s="140" t="s">
        <v>329</v>
      </c>
      <c r="C91" s="140"/>
      <c r="D91" s="140"/>
      <c r="E91" s="140"/>
      <c r="F91" s="140"/>
      <c r="G91" s="140"/>
      <c r="H91" s="140"/>
      <c r="I91" s="140"/>
      <c r="J91" s="140"/>
      <c r="K91" s="39"/>
    </row>
    <row r="92" spans="1:11" s="61" customFormat="1" x14ac:dyDescent="0.2">
      <c r="A92" s="62"/>
      <c r="B92" s="67"/>
      <c r="C92" s="67"/>
      <c r="D92" s="67"/>
      <c r="E92" s="67"/>
      <c r="F92" s="67"/>
      <c r="G92" s="67"/>
      <c r="H92" s="67"/>
      <c r="I92" s="67"/>
      <c r="J92" s="67"/>
      <c r="K92" s="65"/>
    </row>
    <row r="93" spans="1:11" s="61" customFormat="1" x14ac:dyDescent="0.2">
      <c r="A93" s="62"/>
      <c r="B93" s="67"/>
      <c r="C93" s="67"/>
      <c r="D93" s="67"/>
      <c r="E93" s="67"/>
      <c r="F93" s="67"/>
      <c r="G93" s="67"/>
      <c r="H93" s="67"/>
      <c r="I93" s="67"/>
      <c r="J93" s="67"/>
      <c r="K93" s="65"/>
    </row>
    <row r="94" spans="1:11" ht="15" x14ac:dyDescent="0.2">
      <c r="A94" s="36" t="s">
        <v>126</v>
      </c>
      <c r="B94" s="76"/>
      <c r="C94" s="76"/>
      <c r="D94" s="76"/>
      <c r="E94" s="76"/>
      <c r="F94" s="76"/>
      <c r="G94" s="76"/>
      <c r="H94" s="76"/>
      <c r="I94" s="76"/>
      <c r="J94" s="76"/>
      <c r="K94" s="39"/>
    </row>
    <row r="95" spans="1:11" s="61" customFormat="1" ht="15" x14ac:dyDescent="0.2">
      <c r="A95" s="64" t="s">
        <v>126</v>
      </c>
      <c r="B95" s="76"/>
      <c r="C95" s="76"/>
      <c r="D95" s="76"/>
      <c r="E95" s="76"/>
      <c r="F95" s="76"/>
      <c r="G95" s="76"/>
      <c r="H95" s="76"/>
      <c r="I95" s="76"/>
      <c r="J95" s="76"/>
      <c r="K95" s="65"/>
    </row>
    <row r="96" spans="1:11" s="61" customFormat="1" ht="15" x14ac:dyDescent="0.2">
      <c r="A96" s="64"/>
      <c r="K96" s="65"/>
    </row>
    <row r="97" spans="1:13" s="61" customFormat="1" ht="15" x14ac:dyDescent="0.2">
      <c r="A97" s="64"/>
      <c r="K97" s="65"/>
    </row>
    <row r="98" spans="1:13" s="61" customFormat="1" ht="15.75" x14ac:dyDescent="0.2">
      <c r="A98" s="64"/>
      <c r="B98" s="138" t="s">
        <v>47</v>
      </c>
      <c r="C98" s="138"/>
      <c r="D98" s="138"/>
      <c r="E98" s="138"/>
      <c r="F98" s="138"/>
      <c r="G98" s="138"/>
      <c r="H98" s="138"/>
      <c r="I98" s="138"/>
      <c r="J98" s="138"/>
      <c r="K98" s="65"/>
    </row>
    <row r="99" spans="1:13" ht="135.75" customHeight="1" x14ac:dyDescent="0.2">
      <c r="B99" s="176" t="s">
        <v>383</v>
      </c>
      <c r="C99" s="176"/>
      <c r="D99" s="176"/>
      <c r="E99" s="176"/>
      <c r="F99" s="176"/>
      <c r="G99" s="176"/>
      <c r="H99" s="176"/>
      <c r="I99" s="176"/>
      <c r="J99" s="176"/>
      <c r="K99" s="39"/>
    </row>
    <row r="100" spans="1:13" ht="30" customHeight="1" x14ac:dyDescent="0.2">
      <c r="B100" s="140" t="s">
        <v>324</v>
      </c>
      <c r="C100" s="140"/>
      <c r="D100" s="140"/>
      <c r="E100" s="140"/>
      <c r="F100" s="140"/>
      <c r="G100" s="140"/>
      <c r="H100" s="140"/>
      <c r="I100" s="140"/>
      <c r="J100" s="140"/>
      <c r="K100" s="39"/>
    </row>
    <row r="101" spans="1:13" ht="15.75" customHeight="1" x14ac:dyDescent="0.2">
      <c r="B101" s="145" t="s">
        <v>48</v>
      </c>
      <c r="C101" s="145"/>
      <c r="D101" s="145"/>
      <c r="E101" s="145"/>
      <c r="F101" s="145"/>
      <c r="G101" s="145"/>
      <c r="H101" s="145"/>
      <c r="I101" s="145"/>
      <c r="J101" s="145"/>
      <c r="K101" s="39"/>
    </row>
    <row r="102" spans="1:13" ht="30" customHeight="1" x14ac:dyDescent="0.2">
      <c r="B102" s="94" t="s">
        <v>357</v>
      </c>
      <c r="C102" s="94"/>
      <c r="D102" s="94"/>
      <c r="E102" s="94"/>
      <c r="F102" s="94"/>
      <c r="G102" s="94"/>
      <c r="H102" s="94"/>
      <c r="I102" s="94"/>
      <c r="J102" s="94"/>
      <c r="K102" s="39"/>
    </row>
    <row r="103" spans="1:13" x14ac:dyDescent="0.2">
      <c r="B103" s="94"/>
      <c r="C103" s="94"/>
      <c r="D103" s="94"/>
      <c r="E103" s="94"/>
      <c r="F103" s="94"/>
      <c r="G103" s="94"/>
      <c r="H103" s="94"/>
      <c r="I103" s="94"/>
      <c r="J103" s="94"/>
      <c r="K103" s="39"/>
    </row>
    <row r="104" spans="1:13" ht="26.25" customHeight="1" x14ac:dyDescent="0.2">
      <c r="A104" s="36" t="s">
        <v>293</v>
      </c>
      <c r="B104" s="140" t="s">
        <v>327</v>
      </c>
      <c r="C104" s="140"/>
      <c r="D104" s="140"/>
      <c r="E104" s="140"/>
      <c r="F104" s="140"/>
      <c r="G104" s="140"/>
      <c r="H104" s="140"/>
      <c r="I104" s="140"/>
      <c r="J104" s="140"/>
      <c r="K104" s="39"/>
    </row>
    <row r="105" spans="1:13" ht="15.75" customHeight="1" x14ac:dyDescent="0.2">
      <c r="B105" s="145" t="s">
        <v>49</v>
      </c>
      <c r="C105" s="145"/>
      <c r="D105" s="145"/>
      <c r="E105" s="145"/>
      <c r="F105" s="145"/>
      <c r="G105" s="145"/>
      <c r="H105" s="145"/>
      <c r="I105" s="145"/>
      <c r="J105" s="145"/>
      <c r="K105" s="39"/>
      <c r="L105" s="187"/>
    </row>
    <row r="106" spans="1:13" ht="33.75" customHeight="1" x14ac:dyDescent="0.2">
      <c r="B106" s="94" t="s">
        <v>78</v>
      </c>
      <c r="C106" s="94"/>
      <c r="D106" s="94"/>
      <c r="E106" s="94"/>
      <c r="F106" s="94"/>
      <c r="G106" s="94"/>
      <c r="H106" s="94"/>
      <c r="I106" s="94"/>
      <c r="J106" s="94"/>
      <c r="K106" s="42"/>
      <c r="L106" s="187"/>
      <c r="M106" s="75" t="s">
        <v>386</v>
      </c>
    </row>
    <row r="107" spans="1:13" ht="6" customHeight="1" x14ac:dyDescent="0.2">
      <c r="B107" s="150"/>
      <c r="C107" s="150"/>
      <c r="D107" s="150"/>
      <c r="E107" s="150"/>
      <c r="F107" s="150"/>
      <c r="G107" s="150"/>
      <c r="H107" s="150"/>
      <c r="I107" s="150"/>
      <c r="J107" s="150"/>
      <c r="K107" s="35"/>
      <c r="L107" s="187"/>
    </row>
    <row r="108" spans="1:13" ht="27" customHeight="1" x14ac:dyDescent="0.2">
      <c r="B108" s="133" t="s">
        <v>79</v>
      </c>
      <c r="C108" s="151"/>
      <c r="D108" s="151"/>
      <c r="E108" s="134"/>
      <c r="F108" s="152" t="s">
        <v>80</v>
      </c>
      <c r="G108" s="153"/>
      <c r="H108" s="154"/>
      <c r="I108" s="133" t="s">
        <v>81</v>
      </c>
      <c r="J108" s="134"/>
      <c r="K108" s="35"/>
      <c r="L108" s="187"/>
    </row>
    <row r="109" spans="1:13" ht="15" x14ac:dyDescent="0.2">
      <c r="B109" s="155" t="s">
        <v>82</v>
      </c>
      <c r="C109" s="156"/>
      <c r="D109" s="156"/>
      <c r="E109" s="157"/>
      <c r="F109" s="158" t="s">
        <v>356</v>
      </c>
      <c r="G109" s="158"/>
      <c r="H109" s="158"/>
      <c r="I109" s="159">
        <v>0.25</v>
      </c>
      <c r="J109" s="160"/>
      <c r="K109" s="35"/>
      <c r="L109" s="187"/>
    </row>
    <row r="110" spans="1:13" ht="18.75" customHeight="1" x14ac:dyDescent="0.25">
      <c r="A110" s="36" t="s">
        <v>127</v>
      </c>
      <c r="B110" s="155" t="s">
        <v>43</v>
      </c>
      <c r="C110" s="156"/>
      <c r="D110" s="156"/>
      <c r="E110" s="157"/>
      <c r="F110" s="158" t="s">
        <v>356</v>
      </c>
      <c r="G110" s="158"/>
      <c r="H110" s="158"/>
      <c r="I110" s="161">
        <v>0.1</v>
      </c>
      <c r="J110" s="162"/>
      <c r="K110" s="50"/>
      <c r="L110" s="187"/>
    </row>
    <row r="111" spans="1:13" ht="15" x14ac:dyDescent="0.25">
      <c r="B111" s="155" t="s">
        <v>83</v>
      </c>
      <c r="C111" s="156"/>
      <c r="D111" s="156"/>
      <c r="E111" s="157"/>
      <c r="F111" s="158" t="s">
        <v>356</v>
      </c>
      <c r="G111" s="158"/>
      <c r="H111" s="158"/>
      <c r="I111" s="159">
        <v>0.25</v>
      </c>
      <c r="J111" s="160"/>
      <c r="K111" s="50"/>
      <c r="L111" s="187"/>
    </row>
    <row r="112" spans="1:13" ht="15" x14ac:dyDescent="0.25">
      <c r="B112" s="155" t="s">
        <v>84</v>
      </c>
      <c r="C112" s="156"/>
      <c r="D112" s="156"/>
      <c r="E112" s="157"/>
      <c r="F112" s="158" t="s">
        <v>356</v>
      </c>
      <c r="G112" s="158"/>
      <c r="H112" s="158"/>
      <c r="I112" s="159">
        <v>0.4</v>
      </c>
      <c r="J112" s="160"/>
      <c r="K112" s="50"/>
      <c r="L112" s="187"/>
    </row>
    <row r="113" spans="1:12" ht="15" x14ac:dyDescent="0.25">
      <c r="B113" s="139"/>
      <c r="C113" s="139"/>
      <c r="D113" s="139"/>
      <c r="E113" s="139"/>
      <c r="F113" s="139"/>
      <c r="G113" s="139"/>
      <c r="H113" s="139"/>
      <c r="I113" s="139"/>
      <c r="J113" s="139"/>
      <c r="K113" s="50"/>
      <c r="L113" s="187"/>
    </row>
    <row r="114" spans="1:12" ht="15" x14ac:dyDescent="0.25">
      <c r="H114" s="7" t="s">
        <v>85</v>
      </c>
      <c r="I114" s="173">
        <f>SUM(I109:I112)</f>
        <v>1</v>
      </c>
      <c r="J114" s="174"/>
      <c r="K114" s="50"/>
      <c r="L114" s="187"/>
    </row>
    <row r="115" spans="1:12" ht="15" x14ac:dyDescent="0.2">
      <c r="A115" s="36" t="s">
        <v>128</v>
      </c>
      <c r="B115" s="76"/>
      <c r="C115" s="76"/>
      <c r="D115" s="76"/>
      <c r="E115" s="76"/>
      <c r="F115" s="76"/>
      <c r="G115" s="76"/>
      <c r="H115" s="76"/>
      <c r="I115" s="76"/>
      <c r="J115" s="76"/>
      <c r="K115" s="39"/>
    </row>
    <row r="116" spans="1:12" ht="201.75" customHeight="1" x14ac:dyDescent="0.2">
      <c r="B116" s="175" t="s">
        <v>358</v>
      </c>
      <c r="C116" s="175"/>
      <c r="D116" s="175"/>
      <c r="E116" s="175"/>
      <c r="F116" s="175"/>
      <c r="G116" s="175"/>
      <c r="H116" s="175"/>
      <c r="I116" s="175"/>
      <c r="J116" s="175"/>
      <c r="K116" s="35"/>
    </row>
    <row r="117" spans="1:12" s="61" customFormat="1" ht="59.25" customHeight="1" x14ac:dyDescent="0.2">
      <c r="A117" s="62"/>
      <c r="B117" s="68"/>
      <c r="C117" s="68"/>
      <c r="D117" s="68"/>
      <c r="E117" s="68"/>
      <c r="F117" s="68"/>
      <c r="G117" s="68"/>
      <c r="H117" s="68"/>
      <c r="I117" s="68"/>
      <c r="J117" s="68"/>
      <c r="K117" s="63"/>
    </row>
    <row r="118" spans="1:12" ht="23.25" customHeight="1" x14ac:dyDescent="0.2">
      <c r="B118" s="176"/>
      <c r="C118" s="176"/>
      <c r="D118" s="176"/>
      <c r="E118" s="176"/>
      <c r="F118" s="176"/>
      <c r="G118" s="176"/>
      <c r="H118" s="176"/>
      <c r="I118" s="176"/>
      <c r="J118" s="176"/>
      <c r="K118" s="35"/>
    </row>
    <row r="119" spans="1:12" ht="27.75" customHeight="1" x14ac:dyDescent="0.2">
      <c r="A119" s="36" t="s">
        <v>294</v>
      </c>
      <c r="C119" s="177" t="s">
        <v>304</v>
      </c>
      <c r="D119" s="177"/>
      <c r="E119" s="178" t="s">
        <v>305</v>
      </c>
      <c r="F119" s="178"/>
      <c r="G119" s="178"/>
      <c r="H119" s="178"/>
      <c r="I119" s="178"/>
      <c r="K119" s="35"/>
    </row>
    <row r="120" spans="1:12" ht="15" x14ac:dyDescent="0.2">
      <c r="C120" s="163" t="s">
        <v>306</v>
      </c>
      <c r="D120" s="163"/>
      <c r="E120" s="164"/>
      <c r="F120" s="165"/>
      <c r="G120" s="41" t="s">
        <v>320</v>
      </c>
      <c r="H120" s="166">
        <v>0.95</v>
      </c>
      <c r="I120" s="167"/>
      <c r="K120" s="35"/>
    </row>
    <row r="121" spans="1:12" ht="15" x14ac:dyDescent="0.2">
      <c r="A121" s="38" t="s">
        <v>321</v>
      </c>
      <c r="C121" s="163" t="s">
        <v>307</v>
      </c>
      <c r="D121" s="168"/>
      <c r="E121" s="169">
        <v>0.9</v>
      </c>
      <c r="F121" s="170"/>
      <c r="G121" s="40" t="s">
        <v>311</v>
      </c>
      <c r="H121" s="171">
        <v>0.95</v>
      </c>
      <c r="I121" s="172"/>
      <c r="K121" s="35"/>
    </row>
    <row r="122" spans="1:12" ht="15" x14ac:dyDescent="0.2">
      <c r="C122" s="163" t="s">
        <v>308</v>
      </c>
      <c r="D122" s="168"/>
      <c r="E122" s="169">
        <v>0.85</v>
      </c>
      <c r="F122" s="170"/>
      <c r="G122" s="40" t="s">
        <v>311</v>
      </c>
      <c r="H122" s="171">
        <v>0.9</v>
      </c>
      <c r="I122" s="172"/>
      <c r="K122" s="35"/>
    </row>
    <row r="123" spans="1:12" x14ac:dyDescent="0.2">
      <c r="C123" s="163" t="s">
        <v>309</v>
      </c>
      <c r="D123" s="168"/>
      <c r="E123" s="169">
        <v>0.8</v>
      </c>
      <c r="F123" s="170"/>
      <c r="G123" s="40" t="s">
        <v>311</v>
      </c>
      <c r="H123" s="171">
        <v>0.85</v>
      </c>
      <c r="I123" s="172"/>
      <c r="K123" s="39"/>
    </row>
    <row r="124" spans="1:12" x14ac:dyDescent="0.2">
      <c r="C124" s="163" t="s">
        <v>310</v>
      </c>
      <c r="D124" s="168"/>
      <c r="E124" s="169">
        <v>0.75</v>
      </c>
      <c r="F124" s="170"/>
      <c r="G124" s="40" t="s">
        <v>311</v>
      </c>
      <c r="H124" s="171">
        <v>0.8</v>
      </c>
      <c r="I124" s="172"/>
      <c r="K124" s="39"/>
    </row>
    <row r="125" spans="1:12" x14ac:dyDescent="0.2">
      <c r="C125" s="163" t="s">
        <v>312</v>
      </c>
      <c r="D125" s="168"/>
      <c r="E125" s="169">
        <v>0.7</v>
      </c>
      <c r="F125" s="170"/>
      <c r="G125" s="40" t="s">
        <v>311</v>
      </c>
      <c r="H125" s="171">
        <v>0.75</v>
      </c>
      <c r="I125" s="172"/>
      <c r="K125" s="39"/>
    </row>
    <row r="126" spans="1:12" x14ac:dyDescent="0.2">
      <c r="C126" s="163" t="s">
        <v>313</v>
      </c>
      <c r="D126" s="168"/>
      <c r="E126" s="169">
        <v>0.65</v>
      </c>
      <c r="F126" s="170"/>
      <c r="G126" s="40" t="s">
        <v>311</v>
      </c>
      <c r="H126" s="171">
        <v>0.7</v>
      </c>
      <c r="I126" s="172"/>
      <c r="K126" s="39"/>
    </row>
    <row r="127" spans="1:12" x14ac:dyDescent="0.2">
      <c r="C127" s="163" t="s">
        <v>314</v>
      </c>
      <c r="D127" s="168"/>
      <c r="E127" s="169">
        <v>0.6</v>
      </c>
      <c r="F127" s="170"/>
      <c r="G127" s="40" t="s">
        <v>311</v>
      </c>
      <c r="H127" s="171">
        <v>0.65</v>
      </c>
      <c r="I127" s="172"/>
      <c r="K127" s="39"/>
    </row>
    <row r="128" spans="1:12" x14ac:dyDescent="0.2">
      <c r="C128" s="163" t="s">
        <v>315</v>
      </c>
      <c r="D128" s="168"/>
      <c r="E128" s="169">
        <v>0.56000000000000005</v>
      </c>
      <c r="F128" s="170"/>
      <c r="G128" s="40" t="s">
        <v>311</v>
      </c>
      <c r="H128" s="171">
        <v>0.6</v>
      </c>
      <c r="I128" s="172"/>
      <c r="K128" s="39"/>
    </row>
    <row r="129" spans="1:11" x14ac:dyDescent="0.2">
      <c r="C129" s="163" t="s">
        <v>316</v>
      </c>
      <c r="D129" s="168"/>
      <c r="E129" s="169">
        <v>0.53</v>
      </c>
      <c r="F129" s="170"/>
      <c r="G129" s="40" t="s">
        <v>311</v>
      </c>
      <c r="H129" s="171">
        <v>0.56000000000000005</v>
      </c>
      <c r="I129" s="172"/>
      <c r="K129" s="39"/>
    </row>
    <row r="130" spans="1:11" x14ac:dyDescent="0.2">
      <c r="C130" s="163" t="s">
        <v>317</v>
      </c>
      <c r="D130" s="168"/>
      <c r="E130" s="169">
        <v>0.5</v>
      </c>
      <c r="F130" s="170"/>
      <c r="G130" s="40" t="s">
        <v>311</v>
      </c>
      <c r="H130" s="171">
        <v>0.53</v>
      </c>
      <c r="I130" s="172"/>
      <c r="K130" s="39"/>
    </row>
    <row r="131" spans="1:11" x14ac:dyDescent="0.2">
      <c r="C131" s="163" t="s">
        <v>318</v>
      </c>
      <c r="D131" s="168"/>
      <c r="E131" s="169"/>
      <c r="F131" s="170"/>
      <c r="G131" s="40" t="s">
        <v>319</v>
      </c>
      <c r="H131" s="171">
        <v>0.5</v>
      </c>
      <c r="I131" s="172"/>
      <c r="K131" s="39"/>
    </row>
    <row r="132" spans="1:11" x14ac:dyDescent="0.2">
      <c r="B132" s="105"/>
      <c r="C132" s="105"/>
      <c r="D132" s="105"/>
      <c r="E132" s="105"/>
      <c r="F132" s="105"/>
      <c r="G132" s="105"/>
      <c r="H132" s="105"/>
      <c r="I132" s="105"/>
      <c r="J132" s="105"/>
      <c r="K132" s="39"/>
    </row>
    <row r="133" spans="1:11" ht="14.25" customHeight="1" x14ac:dyDescent="0.2">
      <c r="A133" s="38" t="s">
        <v>331</v>
      </c>
      <c r="B133" s="140" t="s">
        <v>340</v>
      </c>
      <c r="C133" s="140"/>
      <c r="D133" s="140"/>
      <c r="E133" s="140"/>
      <c r="F133" s="140"/>
      <c r="G133" s="140"/>
      <c r="H133" s="140"/>
      <c r="I133" s="140"/>
      <c r="J133" s="140"/>
      <c r="K133" s="39"/>
    </row>
    <row r="134" spans="1:11" ht="15.75" customHeight="1" x14ac:dyDescent="0.2">
      <c r="B134" s="145" t="s">
        <v>51</v>
      </c>
      <c r="C134" s="145"/>
      <c r="D134" s="145"/>
      <c r="E134" s="145"/>
      <c r="F134" s="145"/>
      <c r="G134" s="145"/>
      <c r="H134" s="145"/>
      <c r="I134" s="145"/>
      <c r="J134" s="145"/>
      <c r="K134" s="39"/>
    </row>
    <row r="135" spans="1:11" ht="35.25" customHeight="1" x14ac:dyDescent="0.2">
      <c r="B135" s="94" t="s">
        <v>298</v>
      </c>
      <c r="C135" s="94"/>
      <c r="D135" s="94"/>
      <c r="E135" s="94"/>
      <c r="F135" s="94"/>
      <c r="G135" s="94"/>
      <c r="H135" s="94"/>
      <c r="I135" s="94"/>
      <c r="J135" s="94"/>
      <c r="K135" s="39"/>
    </row>
    <row r="136" spans="1:11" ht="15" x14ac:dyDescent="0.2">
      <c r="A136" s="36" t="s">
        <v>129</v>
      </c>
      <c r="B136" s="179"/>
      <c r="C136" s="179"/>
      <c r="D136" s="179"/>
      <c r="E136" s="179"/>
      <c r="F136" s="179"/>
      <c r="G136" s="179"/>
      <c r="H136" s="179"/>
      <c r="I136" s="179"/>
      <c r="J136" s="179"/>
      <c r="K136" s="39"/>
    </row>
    <row r="137" spans="1:11" ht="18.75" customHeight="1" x14ac:dyDescent="0.2">
      <c r="B137" s="180" t="s">
        <v>86</v>
      </c>
      <c r="C137" s="181"/>
      <c r="D137" s="182" t="s">
        <v>367</v>
      </c>
      <c r="E137" s="182"/>
      <c r="F137" s="182"/>
      <c r="G137" s="182"/>
      <c r="H137" s="182"/>
      <c r="I137" s="182"/>
      <c r="J137" s="182"/>
      <c r="K137" s="39"/>
    </row>
    <row r="138" spans="1:11" x14ac:dyDescent="0.2">
      <c r="B138" s="180" t="s">
        <v>87</v>
      </c>
      <c r="C138" s="181"/>
      <c r="D138" s="183" t="s">
        <v>368</v>
      </c>
      <c r="E138" s="183"/>
      <c r="F138" s="183"/>
      <c r="G138" s="183"/>
      <c r="H138" s="183"/>
      <c r="I138" s="183"/>
      <c r="J138" s="183"/>
      <c r="K138" s="39"/>
    </row>
    <row r="139" spans="1:11" x14ac:dyDescent="0.2">
      <c r="B139" s="180" t="s">
        <v>88</v>
      </c>
      <c r="C139" s="181"/>
      <c r="D139" s="183" t="s">
        <v>370</v>
      </c>
      <c r="E139" s="183"/>
      <c r="F139" s="183"/>
      <c r="G139" s="183"/>
      <c r="H139" s="183"/>
      <c r="I139" s="183"/>
      <c r="J139" s="183"/>
      <c r="K139" s="39"/>
    </row>
    <row r="140" spans="1:11" x14ac:dyDescent="0.2">
      <c r="B140" s="180" t="s">
        <v>89</v>
      </c>
      <c r="C140" s="181"/>
      <c r="D140" s="183" t="s">
        <v>369</v>
      </c>
      <c r="E140" s="183"/>
      <c r="F140" s="183"/>
      <c r="G140" s="183"/>
      <c r="H140" s="183"/>
      <c r="I140" s="183"/>
      <c r="J140" s="183"/>
      <c r="K140" s="39"/>
    </row>
    <row r="141" spans="1:11" x14ac:dyDescent="0.2">
      <c r="B141" s="139"/>
      <c r="C141" s="139"/>
      <c r="D141" s="139"/>
      <c r="E141" s="139"/>
      <c r="F141" s="139"/>
      <c r="G141" s="139"/>
      <c r="H141" s="139"/>
      <c r="I141" s="139"/>
      <c r="J141" s="139"/>
      <c r="K141" s="39"/>
    </row>
    <row r="142" spans="1:11" x14ac:dyDescent="0.2">
      <c r="K142" s="39"/>
    </row>
    <row r="143" spans="1:11" ht="15" customHeight="1" x14ac:dyDescent="0.2">
      <c r="A143" s="36" t="s">
        <v>130</v>
      </c>
      <c r="B143" s="94" t="s">
        <v>299</v>
      </c>
      <c r="C143" s="94"/>
      <c r="D143" s="94"/>
      <c r="E143" s="94"/>
      <c r="F143" s="94"/>
      <c r="G143" s="94"/>
      <c r="H143" s="94"/>
      <c r="I143" s="94"/>
      <c r="J143" s="94"/>
      <c r="K143" s="39"/>
    </row>
    <row r="144" spans="1:11" x14ac:dyDescent="0.2">
      <c r="B144" s="150"/>
      <c r="C144" s="150"/>
      <c r="D144" s="150"/>
      <c r="E144" s="150"/>
      <c r="F144" s="150"/>
      <c r="G144" s="150"/>
      <c r="H144" s="150"/>
      <c r="I144" s="150"/>
      <c r="J144" s="150"/>
      <c r="K144" s="39"/>
    </row>
    <row r="145" spans="1:11" ht="18.75" customHeight="1" x14ac:dyDescent="0.2">
      <c r="A145" s="36" t="s">
        <v>300</v>
      </c>
      <c r="B145" s="180" t="s">
        <v>86</v>
      </c>
      <c r="C145" s="181"/>
      <c r="D145" s="182" t="s">
        <v>371</v>
      </c>
      <c r="E145" s="182"/>
      <c r="F145" s="182"/>
      <c r="G145" s="182"/>
      <c r="H145" s="182"/>
      <c r="I145" s="182"/>
      <c r="J145" s="182"/>
      <c r="K145" s="39"/>
    </row>
    <row r="146" spans="1:11" x14ac:dyDescent="0.2">
      <c r="B146" s="180" t="s">
        <v>87</v>
      </c>
      <c r="C146" s="181"/>
      <c r="D146" s="183" t="s">
        <v>372</v>
      </c>
      <c r="E146" s="183"/>
      <c r="F146" s="183"/>
      <c r="G146" s="183"/>
      <c r="H146" s="183"/>
      <c r="I146" s="183"/>
      <c r="J146" s="183"/>
      <c r="K146" s="39"/>
    </row>
    <row r="147" spans="1:11" x14ac:dyDescent="0.2">
      <c r="B147" s="180" t="s">
        <v>88</v>
      </c>
      <c r="C147" s="181"/>
      <c r="D147" s="183" t="s">
        <v>374</v>
      </c>
      <c r="E147" s="183"/>
      <c r="F147" s="183"/>
      <c r="G147" s="183"/>
      <c r="H147" s="183"/>
      <c r="I147" s="183"/>
      <c r="J147" s="183"/>
      <c r="K147" s="39"/>
    </row>
    <row r="148" spans="1:11" x14ac:dyDescent="0.2">
      <c r="B148" s="180" t="s">
        <v>89</v>
      </c>
      <c r="C148" s="181"/>
      <c r="D148" s="183" t="s">
        <v>373</v>
      </c>
      <c r="E148" s="183"/>
      <c r="F148" s="183"/>
      <c r="G148" s="183"/>
      <c r="H148" s="183"/>
      <c r="I148" s="183"/>
      <c r="J148" s="183"/>
      <c r="K148" s="39"/>
    </row>
    <row r="149" spans="1:11" x14ac:dyDescent="0.2">
      <c r="B149" s="139"/>
      <c r="C149" s="139"/>
      <c r="D149" s="139"/>
      <c r="E149" s="139"/>
      <c r="F149" s="139"/>
      <c r="G149" s="139"/>
      <c r="H149" s="139"/>
      <c r="I149" s="139"/>
      <c r="J149" s="139"/>
      <c r="K149" s="39"/>
    </row>
    <row r="150" spans="1:11" ht="15" customHeight="1" x14ac:dyDescent="0.25">
      <c r="B150" s="140" t="s">
        <v>322</v>
      </c>
      <c r="C150" s="140"/>
      <c r="D150" s="140"/>
      <c r="E150" s="140"/>
      <c r="F150" s="140"/>
      <c r="G150" s="140"/>
      <c r="H150" s="140"/>
      <c r="I150" s="140"/>
      <c r="J150" s="140"/>
      <c r="K150" s="50"/>
    </row>
    <row r="151" spans="1:11" ht="15.75" customHeight="1" x14ac:dyDescent="0.2">
      <c r="A151" s="36" t="s">
        <v>301</v>
      </c>
      <c r="B151" s="145" t="s">
        <v>52</v>
      </c>
      <c r="C151" s="145"/>
      <c r="D151" s="145"/>
      <c r="E151" s="145"/>
      <c r="F151" s="145"/>
      <c r="G151" s="145"/>
      <c r="H151" s="145"/>
      <c r="I151" s="145"/>
      <c r="J151" s="145"/>
      <c r="K151" s="43"/>
    </row>
    <row r="152" spans="1:11" x14ac:dyDescent="0.2">
      <c r="B152" s="106"/>
      <c r="C152" s="106"/>
      <c r="D152" s="106"/>
      <c r="E152" s="106"/>
      <c r="F152" s="106"/>
      <c r="G152" s="106"/>
      <c r="H152" s="106"/>
      <c r="I152" s="106"/>
      <c r="J152" s="106"/>
      <c r="K152" s="39"/>
    </row>
    <row r="153" spans="1:11" ht="108" customHeight="1" x14ac:dyDescent="0.2">
      <c r="B153" s="94" t="s">
        <v>335</v>
      </c>
      <c r="C153" s="94"/>
      <c r="D153" s="94"/>
      <c r="E153" s="94"/>
      <c r="F153" s="94"/>
      <c r="G153" s="94"/>
      <c r="H153" s="94"/>
      <c r="I153" s="94"/>
      <c r="J153" s="94"/>
      <c r="K153" s="39"/>
    </row>
    <row r="154" spans="1:11" ht="12.75" customHeight="1" x14ac:dyDescent="0.2">
      <c r="B154" s="94"/>
      <c r="C154" s="94"/>
      <c r="D154" s="94"/>
      <c r="E154" s="94"/>
      <c r="F154" s="94"/>
      <c r="G154" s="94"/>
      <c r="H154" s="94"/>
      <c r="I154" s="94"/>
      <c r="J154" s="94"/>
      <c r="K154" s="39"/>
    </row>
    <row r="155" spans="1:11" ht="194.25" customHeight="1" x14ac:dyDescent="0.2">
      <c r="B155" s="94" t="s">
        <v>336</v>
      </c>
      <c r="C155" s="94"/>
      <c r="D155" s="94"/>
      <c r="E155" s="94"/>
      <c r="F155" s="94"/>
      <c r="G155" s="94"/>
      <c r="H155" s="94"/>
      <c r="I155" s="94"/>
      <c r="J155" s="94"/>
      <c r="K155" s="39"/>
    </row>
    <row r="156" spans="1:11" ht="15" customHeight="1" x14ac:dyDescent="0.2">
      <c r="B156" s="106"/>
      <c r="C156" s="106"/>
      <c r="D156" s="106"/>
      <c r="E156" s="106"/>
      <c r="F156" s="106"/>
      <c r="G156" s="106"/>
      <c r="H156" s="106"/>
      <c r="I156" s="106"/>
      <c r="J156" s="106"/>
      <c r="K156" s="39"/>
    </row>
    <row r="157" spans="1:11" ht="191.25" customHeight="1" x14ac:dyDescent="0.2">
      <c r="B157" s="185" t="s">
        <v>337</v>
      </c>
      <c r="C157" s="185"/>
      <c r="D157" s="185"/>
      <c r="E157" s="185"/>
      <c r="F157" s="185"/>
      <c r="G157" s="185"/>
      <c r="H157" s="185"/>
      <c r="I157" s="185"/>
      <c r="J157" s="185"/>
      <c r="K157" s="43" t="s">
        <v>292</v>
      </c>
    </row>
    <row r="158" spans="1:11" x14ac:dyDescent="0.2">
      <c r="B158" s="186"/>
      <c r="C158" s="186"/>
      <c r="D158" s="186"/>
      <c r="E158" s="186"/>
      <c r="F158" s="186"/>
      <c r="G158" s="186"/>
      <c r="H158" s="186"/>
      <c r="I158" s="186"/>
      <c r="J158" s="186"/>
      <c r="K158" s="39"/>
    </row>
    <row r="159" spans="1:11" ht="165" customHeight="1" x14ac:dyDescent="0.2">
      <c r="B159" s="140" t="s">
        <v>323</v>
      </c>
      <c r="C159" s="140"/>
      <c r="D159" s="140"/>
      <c r="E159" s="140"/>
      <c r="F159" s="140"/>
      <c r="G159" s="140"/>
      <c r="H159" s="140"/>
      <c r="I159" s="140"/>
      <c r="J159" s="140"/>
      <c r="K159" s="39"/>
    </row>
    <row r="160" spans="1:11" s="57" customFormat="1" ht="190.5" customHeight="1" x14ac:dyDescent="0.25">
      <c r="A160" s="9"/>
      <c r="B160" s="184" t="s">
        <v>338</v>
      </c>
      <c r="C160" s="184"/>
      <c r="D160" s="184"/>
      <c r="E160" s="184"/>
      <c r="F160" s="184"/>
      <c r="G160" s="184"/>
      <c r="H160" s="184"/>
      <c r="I160" s="184"/>
      <c r="J160" s="184"/>
      <c r="K160" s="50"/>
    </row>
    <row r="161" spans="1:11" s="57" customFormat="1" ht="117" customHeight="1" x14ac:dyDescent="0.25">
      <c r="A161" s="9"/>
      <c r="B161" s="54"/>
      <c r="C161" s="54"/>
      <c r="D161" s="54"/>
      <c r="E161" s="54"/>
      <c r="F161" s="54"/>
      <c r="G161" s="54"/>
      <c r="H161" s="54"/>
      <c r="I161" s="54"/>
      <c r="J161" s="54"/>
      <c r="K161" s="50"/>
    </row>
    <row r="162" spans="1:11" ht="81" customHeight="1" x14ac:dyDescent="0.25">
      <c r="A162" s="36" t="s">
        <v>282</v>
      </c>
      <c r="K162" s="50"/>
    </row>
    <row r="165" spans="1:11" x14ac:dyDescent="0.2">
      <c r="F165" s="54" t="s">
        <v>341</v>
      </c>
    </row>
    <row r="166" spans="1:11" x14ac:dyDescent="0.2">
      <c r="F166" s="54" t="s">
        <v>342</v>
      </c>
    </row>
    <row r="167" spans="1:11" x14ac:dyDescent="0.2">
      <c r="F167" s="54" t="s">
        <v>343</v>
      </c>
    </row>
  </sheetData>
  <mergeCells count="233">
    <mergeCell ref="B140:C140"/>
    <mergeCell ref="B139:C139"/>
    <mergeCell ref="B138:C138"/>
    <mergeCell ref="B113:J113"/>
    <mergeCell ref="B99:J99"/>
    <mergeCell ref="B95:J95"/>
    <mergeCell ref="B34:C34"/>
    <mergeCell ref="D34:G34"/>
    <mergeCell ref="H34:J34"/>
    <mergeCell ref="B35:C35"/>
    <mergeCell ref="D35:G35"/>
    <mergeCell ref="H35:J35"/>
    <mergeCell ref="B80:C80"/>
    <mergeCell ref="D80:E80"/>
    <mergeCell ref="F80:H80"/>
    <mergeCell ref="I80:J80"/>
    <mergeCell ref="D138:J138"/>
    <mergeCell ref="D139:J139"/>
    <mergeCell ref="D140:J140"/>
    <mergeCell ref="B132:J132"/>
    <mergeCell ref="B133:J133"/>
    <mergeCell ref="B134:J134"/>
    <mergeCell ref="B135:J135"/>
    <mergeCell ref="B31:C31"/>
    <mergeCell ref="D31:G31"/>
    <mergeCell ref="H31:J31"/>
    <mergeCell ref="B32:C32"/>
    <mergeCell ref="D32:G32"/>
    <mergeCell ref="H32:J32"/>
    <mergeCell ref="B33:C33"/>
    <mergeCell ref="D33:G33"/>
    <mergeCell ref="H33:J33"/>
    <mergeCell ref="B147:C147"/>
    <mergeCell ref="D147:J147"/>
    <mergeCell ref="B148:C148"/>
    <mergeCell ref="D148:J148"/>
    <mergeCell ref="B149:J149"/>
    <mergeCell ref="B150:J150"/>
    <mergeCell ref="B141:J141"/>
    <mergeCell ref="B160:J160"/>
    <mergeCell ref="B157:J157"/>
    <mergeCell ref="B158:J158"/>
    <mergeCell ref="B159:J159"/>
    <mergeCell ref="B151:J151"/>
    <mergeCell ref="B152:J152"/>
    <mergeCell ref="B153:J153"/>
    <mergeCell ref="B154:J154"/>
    <mergeCell ref="B155:J155"/>
    <mergeCell ref="B156:J156"/>
    <mergeCell ref="B143:J143"/>
    <mergeCell ref="B144:J144"/>
    <mergeCell ref="B145:C145"/>
    <mergeCell ref="D145:J145"/>
    <mergeCell ref="D146:J146"/>
    <mergeCell ref="B146:C146"/>
    <mergeCell ref="B136:J136"/>
    <mergeCell ref="B137:C137"/>
    <mergeCell ref="D137:J137"/>
    <mergeCell ref="C130:D130"/>
    <mergeCell ref="E130:F130"/>
    <mergeCell ref="H130:I130"/>
    <mergeCell ref="C131:D131"/>
    <mergeCell ref="E131:F131"/>
    <mergeCell ref="H131:I131"/>
    <mergeCell ref="C128:D128"/>
    <mergeCell ref="E128:F128"/>
    <mergeCell ref="H128:I128"/>
    <mergeCell ref="C129:D129"/>
    <mergeCell ref="E129:F129"/>
    <mergeCell ref="H129:I129"/>
    <mergeCell ref="C126:D126"/>
    <mergeCell ref="E126:F126"/>
    <mergeCell ref="H126:I126"/>
    <mergeCell ref="C127:D127"/>
    <mergeCell ref="E127:F127"/>
    <mergeCell ref="H127:I127"/>
    <mergeCell ref="C124:D124"/>
    <mergeCell ref="E124:F124"/>
    <mergeCell ref="H124:I124"/>
    <mergeCell ref="C125:D125"/>
    <mergeCell ref="E125:F125"/>
    <mergeCell ref="H125:I125"/>
    <mergeCell ref="C122:D122"/>
    <mergeCell ref="E122:F122"/>
    <mergeCell ref="H122:I122"/>
    <mergeCell ref="C123:D123"/>
    <mergeCell ref="E123:F123"/>
    <mergeCell ref="H123:I123"/>
    <mergeCell ref="C120:D120"/>
    <mergeCell ref="E120:F120"/>
    <mergeCell ref="H120:I120"/>
    <mergeCell ref="C121:D121"/>
    <mergeCell ref="E121:F121"/>
    <mergeCell ref="H121:I121"/>
    <mergeCell ref="I114:J114"/>
    <mergeCell ref="B115:J115"/>
    <mergeCell ref="B116:J116"/>
    <mergeCell ref="B118:J118"/>
    <mergeCell ref="C119:D119"/>
    <mergeCell ref="E119:I119"/>
    <mergeCell ref="B111:E111"/>
    <mergeCell ref="F111:H111"/>
    <mergeCell ref="I111:J111"/>
    <mergeCell ref="B112:E112"/>
    <mergeCell ref="F112:H112"/>
    <mergeCell ref="I112:J112"/>
    <mergeCell ref="B109:E109"/>
    <mergeCell ref="F109:H109"/>
    <mergeCell ref="I109:J109"/>
    <mergeCell ref="B110:E110"/>
    <mergeCell ref="F110:H110"/>
    <mergeCell ref="I110:J110"/>
    <mergeCell ref="B104:J104"/>
    <mergeCell ref="B105:J105"/>
    <mergeCell ref="B106:J106"/>
    <mergeCell ref="B107:J107"/>
    <mergeCell ref="B108:E108"/>
    <mergeCell ref="F108:H108"/>
    <mergeCell ref="I108:J108"/>
    <mergeCell ref="B100:J100"/>
    <mergeCell ref="B101:J101"/>
    <mergeCell ref="B102:J102"/>
    <mergeCell ref="B103:J103"/>
    <mergeCell ref="B90:J90"/>
    <mergeCell ref="B91:J91"/>
    <mergeCell ref="B98:J98"/>
    <mergeCell ref="B94:J94"/>
    <mergeCell ref="B89:J89"/>
    <mergeCell ref="E87:F87"/>
    <mergeCell ref="H87:J87"/>
    <mergeCell ref="B88:J88"/>
    <mergeCell ref="B82:J82"/>
    <mergeCell ref="B83:J83"/>
    <mergeCell ref="B84:J84"/>
    <mergeCell ref="B85:J85"/>
    <mergeCell ref="E86:F86"/>
    <mergeCell ref="H86:J86"/>
    <mergeCell ref="B79:C79"/>
    <mergeCell ref="D79:E79"/>
    <mergeCell ref="F79:H79"/>
    <mergeCell ref="I79:J79"/>
    <mergeCell ref="B81:C81"/>
    <mergeCell ref="D81:E81"/>
    <mergeCell ref="F81:H81"/>
    <mergeCell ref="I81:J81"/>
    <mergeCell ref="B74:C74"/>
    <mergeCell ref="D74:E74"/>
    <mergeCell ref="B75:C75"/>
    <mergeCell ref="D75:E75"/>
    <mergeCell ref="B77:J77"/>
    <mergeCell ref="B78:J78"/>
    <mergeCell ref="C68:D68"/>
    <mergeCell ref="E68:F68"/>
    <mergeCell ref="G68:H68"/>
    <mergeCell ref="B72:C72"/>
    <mergeCell ref="D72:E72"/>
    <mergeCell ref="B73:C73"/>
    <mergeCell ref="D73:E73"/>
    <mergeCell ref="C66:D66"/>
    <mergeCell ref="E66:F66"/>
    <mergeCell ref="G66:H66"/>
    <mergeCell ref="C67:D67"/>
    <mergeCell ref="E67:F67"/>
    <mergeCell ref="G67:H67"/>
    <mergeCell ref="B63:J63"/>
    <mergeCell ref="C65:D65"/>
    <mergeCell ref="E65:F65"/>
    <mergeCell ref="G65:H65"/>
    <mergeCell ref="B58:C58"/>
    <mergeCell ref="D58:E58"/>
    <mergeCell ref="F58:G58"/>
    <mergeCell ref="H58:I58"/>
    <mergeCell ref="B59:C59"/>
    <mergeCell ref="D59:E59"/>
    <mergeCell ref="F59:G59"/>
    <mergeCell ref="H59:I59"/>
    <mergeCell ref="B37:J37"/>
    <mergeCell ref="B53:C55"/>
    <mergeCell ref="D53:E55"/>
    <mergeCell ref="F53:G55"/>
    <mergeCell ref="H53:I55"/>
    <mergeCell ref="B60:C60"/>
    <mergeCell ref="D60:E60"/>
    <mergeCell ref="F60:G60"/>
    <mergeCell ref="H60:I60"/>
    <mergeCell ref="C21:J21"/>
    <mergeCell ref="C26:J26"/>
    <mergeCell ref="C22:J22"/>
    <mergeCell ref="C23:J23"/>
    <mergeCell ref="C24:J24"/>
    <mergeCell ref="C25:J25"/>
    <mergeCell ref="K1:K15"/>
    <mergeCell ref="H2:J2"/>
    <mergeCell ref="H3:I3"/>
    <mergeCell ref="F4:G4"/>
    <mergeCell ref="H4:I4"/>
    <mergeCell ref="F5:G5"/>
    <mergeCell ref="H5:I5"/>
    <mergeCell ref="B7:J7"/>
    <mergeCell ref="B8:J8"/>
    <mergeCell ref="B9:J9"/>
    <mergeCell ref="D14:G14"/>
    <mergeCell ref="D15:J15"/>
    <mergeCell ref="H1:J1"/>
    <mergeCell ref="B10:J10"/>
    <mergeCell ref="B11:J11"/>
    <mergeCell ref="B12:J12"/>
    <mergeCell ref="D13:I13"/>
    <mergeCell ref="B14:C14"/>
    <mergeCell ref="B16:J16"/>
    <mergeCell ref="B56:C56"/>
    <mergeCell ref="D56:E56"/>
    <mergeCell ref="F56:G56"/>
    <mergeCell ref="H56:I56"/>
    <mergeCell ref="B57:C57"/>
    <mergeCell ref="D57:E57"/>
    <mergeCell ref="F57:G57"/>
    <mergeCell ref="H57:I57"/>
    <mergeCell ref="B36:C36"/>
    <mergeCell ref="D36:G36"/>
    <mergeCell ref="H36:J36"/>
    <mergeCell ref="B27:J27"/>
    <mergeCell ref="B28:J28"/>
    <mergeCell ref="B29:C29"/>
    <mergeCell ref="D29:G29"/>
    <mergeCell ref="H29:J29"/>
    <mergeCell ref="B30:C30"/>
    <mergeCell ref="D30:G30"/>
    <mergeCell ref="H30:J30"/>
    <mergeCell ref="B17:J17"/>
    <mergeCell ref="B18:J18"/>
    <mergeCell ref="B19:J19"/>
    <mergeCell ref="C20:J20"/>
  </mergeCells>
  <dataValidations count="1">
    <dataValidation allowBlank="1" showInputMessage="1" showErrorMessage="1" prompt="Enter an approximation" sqref="G66:H66"/>
  </dataValidations>
  <hyperlinks>
    <hyperlink ref="D15" r:id="rId1" location="38252"/>
    <hyperlink ref="H87" r:id="rId2"/>
  </hyperlinks>
  <pageMargins left="0.7" right="0.7" top="0.75" bottom="0.75" header="0.3" footer="0.3"/>
  <pageSetup orientation="portrait" r:id="rId3"/>
  <headerFooter>
    <oddFooter xml:space="preserve">&amp;L
____________________________________________________________________________________________
Schulich School of Engineering
Course Outline&amp;RPage &amp;P of &amp;N
</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7169" r:id="rId6" name="Button 1">
              <controlPr defaultSize="0" print="0" autoFill="0" autoPict="0" macro="[0]!AddLearningOutcome">
                <anchor moveWithCells="1" sizeWithCells="1">
                  <from>
                    <xdr:col>1</xdr:col>
                    <xdr:colOff>76200</xdr:colOff>
                    <xdr:row>26</xdr:row>
                    <xdr:rowOff>28575</xdr:rowOff>
                  </from>
                  <to>
                    <xdr:col>5</xdr:col>
                    <xdr:colOff>276225</xdr:colOff>
                    <xdr:row>26</xdr:row>
                    <xdr:rowOff>171450</xdr:rowOff>
                  </to>
                </anchor>
              </controlPr>
            </control>
          </mc:Choice>
        </mc:AlternateContent>
        <mc:AlternateContent xmlns:mc="http://schemas.openxmlformats.org/markup-compatibility/2006">
          <mc:Choice Requires="x14">
            <control shapeId="7170" r:id="rId7" name="Button 2">
              <controlPr defaultSize="0" print="0" autoFill="0" autoPict="0" macro="[0]!DeleteLearningOutcome">
                <anchor moveWithCells="1" sizeWithCells="1">
                  <from>
                    <xdr:col>5</xdr:col>
                    <xdr:colOff>361950</xdr:colOff>
                    <xdr:row>26</xdr:row>
                    <xdr:rowOff>19050</xdr:rowOff>
                  </from>
                  <to>
                    <xdr:col>9</xdr:col>
                    <xdr:colOff>581025</xdr:colOff>
                    <xdr:row>26</xdr:row>
                    <xdr:rowOff>161925</xdr:rowOff>
                  </to>
                </anchor>
              </controlPr>
            </control>
          </mc:Choice>
        </mc:AlternateContent>
        <mc:AlternateContent xmlns:mc="http://schemas.openxmlformats.org/markup-compatibility/2006">
          <mc:Choice Requires="x14">
            <control shapeId="7171" r:id="rId8" name="Button 3">
              <controlPr defaultSize="0" print="0" autoFill="0" autoPict="0" macro="[0]!AddLearningOutcomeMapping">
                <anchor moveWithCells="1" sizeWithCells="1">
                  <from>
                    <xdr:col>1</xdr:col>
                    <xdr:colOff>19050</xdr:colOff>
                    <xdr:row>36</xdr:row>
                    <xdr:rowOff>28575</xdr:rowOff>
                  </from>
                  <to>
                    <xdr:col>5</xdr:col>
                    <xdr:colOff>219075</xdr:colOff>
                    <xdr:row>36</xdr:row>
                    <xdr:rowOff>171450</xdr:rowOff>
                  </to>
                </anchor>
              </controlPr>
            </control>
          </mc:Choice>
        </mc:AlternateContent>
        <mc:AlternateContent xmlns:mc="http://schemas.openxmlformats.org/markup-compatibility/2006">
          <mc:Choice Requires="x14">
            <control shapeId="7172" r:id="rId9" name="Button 4">
              <controlPr defaultSize="0" print="0" autoFill="0" autoPict="0" macro="[0]!DeleteLearningOutcomeMapping">
                <anchor moveWithCells="1" sizeWithCells="1">
                  <from>
                    <xdr:col>5</xdr:col>
                    <xdr:colOff>352425</xdr:colOff>
                    <xdr:row>36</xdr:row>
                    <xdr:rowOff>28575</xdr:rowOff>
                  </from>
                  <to>
                    <xdr:col>9</xdr:col>
                    <xdr:colOff>571500</xdr:colOff>
                    <xdr:row>36</xdr:row>
                    <xdr:rowOff>171450</xdr:rowOff>
                  </to>
                </anchor>
              </controlPr>
            </control>
          </mc:Choice>
        </mc:AlternateContent>
        <mc:AlternateContent xmlns:mc="http://schemas.openxmlformats.org/markup-compatibility/2006">
          <mc:Choice Requires="x14">
            <control shapeId="7173" r:id="rId10" name="Button 5">
              <controlPr defaultSize="0" print="0" autoFill="0" autoPict="0" macro="[0]!AddTimetableSection">
                <anchor moveWithCells="1" sizeWithCells="1">
                  <from>
                    <xdr:col>1</xdr:col>
                    <xdr:colOff>19050</xdr:colOff>
                    <xdr:row>81</xdr:row>
                    <xdr:rowOff>28575</xdr:rowOff>
                  </from>
                  <to>
                    <xdr:col>5</xdr:col>
                    <xdr:colOff>219075</xdr:colOff>
                    <xdr:row>81</xdr:row>
                    <xdr:rowOff>171450</xdr:rowOff>
                  </to>
                </anchor>
              </controlPr>
            </control>
          </mc:Choice>
        </mc:AlternateContent>
        <mc:AlternateContent xmlns:mc="http://schemas.openxmlformats.org/markup-compatibility/2006">
          <mc:Choice Requires="x14">
            <control shapeId="7174" r:id="rId11" name="Button 6">
              <controlPr defaultSize="0" print="0" autoFill="0" autoPict="0" macro="[0]!DeleteTimetableSection">
                <anchor moveWithCells="1" sizeWithCells="1">
                  <from>
                    <xdr:col>5</xdr:col>
                    <xdr:colOff>352425</xdr:colOff>
                    <xdr:row>81</xdr:row>
                    <xdr:rowOff>28575</xdr:rowOff>
                  </from>
                  <to>
                    <xdr:col>9</xdr:col>
                    <xdr:colOff>571500</xdr:colOff>
                    <xdr:row>81</xdr:row>
                    <xdr:rowOff>171450</xdr:rowOff>
                  </to>
                </anchor>
              </controlPr>
            </control>
          </mc:Choice>
        </mc:AlternateContent>
        <mc:AlternateContent xmlns:mc="http://schemas.openxmlformats.org/markup-compatibility/2006">
          <mc:Choice Requires="x14">
            <control shapeId="7175" r:id="rId12" name="Button 7">
              <controlPr defaultSize="0" print="0" autoFill="0" autoPict="0" macro="[0]!AddCourseCoordinator">
                <anchor moveWithCells="1" sizeWithCells="1">
                  <from>
                    <xdr:col>1</xdr:col>
                    <xdr:colOff>19050</xdr:colOff>
                    <xdr:row>87</xdr:row>
                    <xdr:rowOff>28575</xdr:rowOff>
                  </from>
                  <to>
                    <xdr:col>5</xdr:col>
                    <xdr:colOff>219075</xdr:colOff>
                    <xdr:row>87</xdr:row>
                    <xdr:rowOff>171450</xdr:rowOff>
                  </to>
                </anchor>
              </controlPr>
            </control>
          </mc:Choice>
        </mc:AlternateContent>
        <mc:AlternateContent xmlns:mc="http://schemas.openxmlformats.org/markup-compatibility/2006">
          <mc:Choice Requires="x14">
            <control shapeId="7176" r:id="rId13" name="Button 8">
              <controlPr defaultSize="0" print="0" autoFill="0" autoPict="0" macro="[0]!DeleteCourseCoordinator">
                <anchor moveWithCells="1" sizeWithCells="1">
                  <from>
                    <xdr:col>5</xdr:col>
                    <xdr:colOff>352425</xdr:colOff>
                    <xdr:row>87</xdr:row>
                    <xdr:rowOff>28575</xdr:rowOff>
                  </from>
                  <to>
                    <xdr:col>9</xdr:col>
                    <xdr:colOff>571500</xdr:colOff>
                    <xdr:row>87</xdr:row>
                    <xdr:rowOff>171450</xdr:rowOff>
                  </to>
                </anchor>
              </controlPr>
            </control>
          </mc:Choice>
        </mc:AlternateContent>
        <mc:AlternateContent xmlns:mc="http://schemas.openxmlformats.org/markup-compatibility/2006">
          <mc:Choice Requires="x14">
            <control shapeId="7177" r:id="rId14" name="Button 9">
              <controlPr defaultSize="0" print="0" autoFill="0" autoPict="0" macro="[0]!AddInstructor">
                <anchor moveWithCells="1" sizeWithCells="1">
                  <from>
                    <xdr:col>1</xdr:col>
                    <xdr:colOff>19050</xdr:colOff>
                    <xdr:row>88</xdr:row>
                    <xdr:rowOff>28575</xdr:rowOff>
                  </from>
                  <to>
                    <xdr:col>5</xdr:col>
                    <xdr:colOff>219075</xdr:colOff>
                    <xdr:row>88</xdr:row>
                    <xdr:rowOff>171450</xdr:rowOff>
                  </to>
                </anchor>
              </controlPr>
            </control>
          </mc:Choice>
        </mc:AlternateContent>
        <mc:AlternateContent xmlns:mc="http://schemas.openxmlformats.org/markup-compatibility/2006">
          <mc:Choice Requires="x14">
            <control shapeId="7178" r:id="rId15" name="Button 10">
              <controlPr defaultSize="0" print="0" autoFill="0" autoPict="0" macro="[0]!DeleteInstructor">
                <anchor moveWithCells="1" sizeWithCells="1">
                  <from>
                    <xdr:col>5</xdr:col>
                    <xdr:colOff>352425</xdr:colOff>
                    <xdr:row>88</xdr:row>
                    <xdr:rowOff>28575</xdr:rowOff>
                  </from>
                  <to>
                    <xdr:col>9</xdr:col>
                    <xdr:colOff>571500</xdr:colOff>
                    <xdr:row>88</xdr:row>
                    <xdr:rowOff>171450</xdr:rowOff>
                  </to>
                </anchor>
              </controlPr>
            </control>
          </mc:Choice>
        </mc:AlternateContent>
        <mc:AlternateContent xmlns:mc="http://schemas.openxmlformats.org/markup-compatibility/2006">
          <mc:Choice Requires="x14">
            <control shapeId="7179" r:id="rId16" name="Button 11">
              <controlPr defaultSize="0" print="0" autoFill="0" autoPict="0" macro="[0]!AddTA">
                <anchor moveWithCells="1" sizeWithCells="1">
                  <from>
                    <xdr:col>1</xdr:col>
                    <xdr:colOff>19050</xdr:colOff>
                    <xdr:row>89</xdr:row>
                    <xdr:rowOff>28575</xdr:rowOff>
                  </from>
                  <to>
                    <xdr:col>5</xdr:col>
                    <xdr:colOff>219075</xdr:colOff>
                    <xdr:row>89</xdr:row>
                    <xdr:rowOff>171450</xdr:rowOff>
                  </to>
                </anchor>
              </controlPr>
            </control>
          </mc:Choice>
        </mc:AlternateContent>
        <mc:AlternateContent xmlns:mc="http://schemas.openxmlformats.org/markup-compatibility/2006">
          <mc:Choice Requires="x14">
            <control shapeId="7180" r:id="rId17" name="Button 12">
              <controlPr defaultSize="0" print="0" autoFill="0" autoPict="0" macro="[0]!DeleteTA">
                <anchor moveWithCells="1" sizeWithCells="1">
                  <from>
                    <xdr:col>5</xdr:col>
                    <xdr:colOff>352425</xdr:colOff>
                    <xdr:row>89</xdr:row>
                    <xdr:rowOff>28575</xdr:rowOff>
                  </from>
                  <to>
                    <xdr:col>9</xdr:col>
                    <xdr:colOff>571500</xdr:colOff>
                    <xdr:row>89</xdr:row>
                    <xdr:rowOff>171450</xdr:rowOff>
                  </to>
                </anchor>
              </controlPr>
            </control>
          </mc:Choice>
        </mc:AlternateContent>
        <mc:AlternateContent xmlns:mc="http://schemas.openxmlformats.org/markup-compatibility/2006">
          <mc:Choice Requires="x14">
            <control shapeId="7181" r:id="rId18" name="Button 13">
              <controlPr defaultSize="0" print="0" autoFill="0" autoPict="0" macro="[0]!AddGradeComponent">
                <anchor moveWithCells="1" sizeWithCells="1">
                  <from>
                    <xdr:col>1</xdr:col>
                    <xdr:colOff>19050</xdr:colOff>
                    <xdr:row>112</xdr:row>
                    <xdr:rowOff>28575</xdr:rowOff>
                  </from>
                  <to>
                    <xdr:col>5</xdr:col>
                    <xdr:colOff>219075</xdr:colOff>
                    <xdr:row>112</xdr:row>
                    <xdr:rowOff>171450</xdr:rowOff>
                  </to>
                </anchor>
              </controlPr>
            </control>
          </mc:Choice>
        </mc:AlternateContent>
        <mc:AlternateContent xmlns:mc="http://schemas.openxmlformats.org/markup-compatibility/2006">
          <mc:Choice Requires="x14">
            <control shapeId="7182" r:id="rId19" name="Button 14">
              <controlPr defaultSize="0" print="0" autoFill="0" autoPict="0" macro="[0]!DeleteGradeComponent">
                <anchor moveWithCells="1" sizeWithCells="1">
                  <from>
                    <xdr:col>5</xdr:col>
                    <xdr:colOff>352425</xdr:colOff>
                    <xdr:row>112</xdr:row>
                    <xdr:rowOff>28575</xdr:rowOff>
                  </from>
                  <to>
                    <xdr:col>9</xdr:col>
                    <xdr:colOff>571500</xdr:colOff>
                    <xdr:row>112</xdr:row>
                    <xdr:rowOff>171450</xdr:rowOff>
                  </to>
                </anchor>
              </controlPr>
            </control>
          </mc:Choice>
        </mc:AlternateContent>
        <mc:AlternateContent xmlns:mc="http://schemas.openxmlformats.org/markup-compatibility/2006">
          <mc:Choice Requires="x14">
            <control shapeId="7183" r:id="rId20" name="Button 15">
              <controlPr defaultSize="0" print="0" autoFill="0" autoPict="0" macro="[0]!AddTextbook">
                <anchor moveWithCells="1" sizeWithCells="1">
                  <from>
                    <xdr:col>1</xdr:col>
                    <xdr:colOff>19050</xdr:colOff>
                    <xdr:row>140</xdr:row>
                    <xdr:rowOff>28575</xdr:rowOff>
                  </from>
                  <to>
                    <xdr:col>5</xdr:col>
                    <xdr:colOff>219075</xdr:colOff>
                    <xdr:row>140</xdr:row>
                    <xdr:rowOff>171450</xdr:rowOff>
                  </to>
                </anchor>
              </controlPr>
            </control>
          </mc:Choice>
        </mc:AlternateContent>
        <mc:AlternateContent xmlns:mc="http://schemas.openxmlformats.org/markup-compatibility/2006">
          <mc:Choice Requires="x14">
            <control shapeId="7184" r:id="rId21" name="Button 16">
              <controlPr defaultSize="0" print="0" autoFill="0" autoPict="0" macro="[0]!DeleteTextbook">
                <anchor moveWithCells="1" sizeWithCells="1">
                  <from>
                    <xdr:col>5</xdr:col>
                    <xdr:colOff>352425</xdr:colOff>
                    <xdr:row>140</xdr:row>
                    <xdr:rowOff>28575</xdr:rowOff>
                  </from>
                  <to>
                    <xdr:col>9</xdr:col>
                    <xdr:colOff>571500</xdr:colOff>
                    <xdr:row>140</xdr:row>
                    <xdr:rowOff>171450</xdr:rowOff>
                  </to>
                </anchor>
              </controlPr>
            </control>
          </mc:Choice>
        </mc:AlternateContent>
        <mc:AlternateContent xmlns:mc="http://schemas.openxmlformats.org/markup-compatibility/2006">
          <mc:Choice Requires="x14">
            <control shapeId="7185" r:id="rId22" name="Button 17">
              <controlPr defaultSize="0" print="0" autoFill="0" autoPict="0" macro="[0]!AddRecommendedTextbook">
                <anchor moveWithCells="1" sizeWithCells="1">
                  <from>
                    <xdr:col>1</xdr:col>
                    <xdr:colOff>19050</xdr:colOff>
                    <xdr:row>148</xdr:row>
                    <xdr:rowOff>28575</xdr:rowOff>
                  </from>
                  <to>
                    <xdr:col>5</xdr:col>
                    <xdr:colOff>219075</xdr:colOff>
                    <xdr:row>148</xdr:row>
                    <xdr:rowOff>171450</xdr:rowOff>
                  </to>
                </anchor>
              </controlPr>
            </control>
          </mc:Choice>
        </mc:AlternateContent>
        <mc:AlternateContent xmlns:mc="http://schemas.openxmlformats.org/markup-compatibility/2006">
          <mc:Choice Requires="x14">
            <control shapeId="7186" r:id="rId23" name="Button 18">
              <controlPr defaultSize="0" print="0" autoFill="0" autoPict="0" macro="[0]!DeleteRecommendedTextbook">
                <anchor moveWithCells="1" sizeWithCells="1">
                  <from>
                    <xdr:col>5</xdr:col>
                    <xdr:colOff>352425</xdr:colOff>
                    <xdr:row>148</xdr:row>
                    <xdr:rowOff>28575</xdr:rowOff>
                  </from>
                  <to>
                    <xdr:col>9</xdr:col>
                    <xdr:colOff>571500</xdr:colOff>
                    <xdr:row>148</xdr:row>
                    <xdr:rowOff>171450</xdr:rowOff>
                  </to>
                </anchor>
              </controlPr>
            </control>
          </mc:Choice>
        </mc:AlternateContent>
        <mc:AlternateContent xmlns:mc="http://schemas.openxmlformats.org/markup-compatibility/2006">
          <mc:Choice Requires="x14">
            <control shapeId="7187" r:id="rId24" name="Button 19">
              <controlPr defaultSize="0" print="0" autoFill="0" autoPict="0" macro="[0]!Generate_PDF">
                <anchor moveWithCells="1">
                  <from>
                    <xdr:col>2</xdr:col>
                    <xdr:colOff>38100</xdr:colOff>
                    <xdr:row>161</xdr:row>
                    <xdr:rowOff>9525</xdr:rowOff>
                  </from>
                  <to>
                    <xdr:col>3</xdr:col>
                    <xdr:colOff>466725</xdr:colOff>
                    <xdr:row>161</xdr:row>
                    <xdr:rowOff>371475</xdr:rowOff>
                  </to>
                </anchor>
              </controlPr>
            </control>
          </mc:Choice>
        </mc:AlternateContent>
        <mc:AlternateContent xmlns:mc="http://schemas.openxmlformats.org/markup-compatibility/2006">
          <mc:Choice Requires="x14">
            <control shapeId="7199" r:id="rId25" name="Button 31">
              <controlPr defaultSize="0" print="0" autoFill="0" autoPict="0" macro="[0]!TogglePreview">
                <anchor moveWithCells="1">
                  <from>
                    <xdr:col>5</xdr:col>
                    <xdr:colOff>485775</xdr:colOff>
                    <xdr:row>160</xdr:row>
                    <xdr:rowOff>161925</xdr:rowOff>
                  </from>
                  <to>
                    <xdr:col>8</xdr:col>
                    <xdr:colOff>38100</xdr:colOff>
                    <xdr:row>160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14:formula1>
            <xm:f>Validation!$B$5:$H$5</xm:f>
          </x14:formula1>
          <xm:sqref>D58:G58</xm:sqref>
        </x14:dataValidation>
        <x14:dataValidation type="list" allowBlank="1" showInputMessage="1" showErrorMessage="1">
          <x14:formula1>
            <xm:f>Validation!$B$4:$E$4</xm:f>
          </x14:formula1>
          <xm:sqref>D57:G57</xm:sqref>
        </x14:dataValidation>
        <x14:dataValidation type="list" allowBlank="1" showInputMessage="1" showErrorMessage="1">
          <x14:formula1>
            <xm:f>Validation!$B$3:$I$3</xm:f>
          </x14:formula1>
          <xm:sqref>D56:G56</xm:sqref>
        </x14:dataValidation>
        <x14:dataValidation type="list" allowBlank="1" showInputMessage="1" showErrorMessage="1" promptTitle="Select Yes or No" prompt="Select yes or no from list">
          <x14:formula1>
            <xm:f>Validation!$B$9:$C$9</xm:f>
          </x14:formula1>
          <xm:sqref>D74:E75</xm:sqref>
        </x14:dataValidation>
        <x14:dataValidation type="list" allowBlank="1" showInputMessage="1" showErrorMessage="1" promptTitle="Select Lab Type" prompt="Select lab type from list">
          <x14:formula1>
            <xm:f>Validation!$B$7:$G$7</xm:f>
          </x14:formula1>
          <xm:sqref>D72:E72</xm:sqref>
        </x14:dataValidation>
        <x14:dataValidation type="list" allowBlank="1" showInputMessage="1" showErrorMessage="1" promptTitle="Select Instruction Level" prompt="Select the Instruction Level corresponding to the Learning Outcome from the list.">
          <x14:formula1>
            <xm:f>Validation!$H$16:$H$18</xm:f>
          </x14:formula1>
          <xm:sqref>H30:J36</xm:sqref>
        </x14:dataValidation>
        <x14:dataValidation type="list" allowBlank="1" showInputMessage="1" showErrorMessage="1" promptTitle="Select a Graduate Attribute" prompt="Select the Graduate Attribute corresponding to the Learning Outcome from the list.">
          <x14:formula1>
            <xm:f>Validation!$B$13:$B$24</xm:f>
          </x14:formula1>
          <xm:sqref>D30:G36</xm:sqref>
        </x14:dataValidation>
        <x14:dataValidation type="list" allowBlank="1" showInputMessage="1" showErrorMessage="1" prompt="Select an approximation">
          <x14:formula1>
            <xm:f>Validation!$B$8:$F$8</xm:f>
          </x14:formula1>
          <xm:sqref>G67:H68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L1:L10"/>
  <sheetViews>
    <sheetView workbookViewId="0"/>
  </sheetViews>
  <sheetFormatPr defaultRowHeight="15" x14ac:dyDescent="0.25"/>
  <cols>
    <col min="1" max="1" width="101.7109375" customWidth="1"/>
    <col min="12" max="12" width="101.85546875" customWidth="1"/>
  </cols>
  <sheetData>
    <row r="1" spans="12:12" s="22" customFormat="1" x14ac:dyDescent="0.25"/>
    <row r="10" spans="12:12" x14ac:dyDescent="0.25">
      <c r="L10"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S65"/>
  <sheetViews>
    <sheetView workbookViewId="0"/>
  </sheetViews>
  <sheetFormatPr defaultRowHeight="15" x14ac:dyDescent="0.25"/>
  <sheetData>
    <row r="2" spans="2:19" x14ac:dyDescent="0.25">
      <c r="B2" t="s">
        <v>270</v>
      </c>
    </row>
    <row r="3" spans="2:19" ht="16.5" x14ac:dyDescent="0.35">
      <c r="B3" s="2" t="s">
        <v>14</v>
      </c>
      <c r="C3" s="3" t="s">
        <v>15</v>
      </c>
      <c r="D3" s="3" t="s">
        <v>16</v>
      </c>
      <c r="E3" s="4" t="s">
        <v>17</v>
      </c>
      <c r="F3" s="3" t="s">
        <v>18</v>
      </c>
      <c r="G3" s="3" t="s">
        <v>19</v>
      </c>
      <c r="H3" s="3" t="s">
        <v>20</v>
      </c>
      <c r="I3" s="3" t="s">
        <v>21</v>
      </c>
      <c r="K3" s="1" t="s">
        <v>269</v>
      </c>
    </row>
    <row r="4" spans="2:19" ht="16.5" x14ac:dyDescent="0.35">
      <c r="B4" s="2" t="s">
        <v>22</v>
      </c>
      <c r="C4" s="3" t="s">
        <v>23</v>
      </c>
      <c r="D4" s="3" t="s">
        <v>24</v>
      </c>
      <c r="E4" s="4" t="s">
        <v>25</v>
      </c>
      <c r="F4" s="4"/>
      <c r="G4" s="1"/>
      <c r="H4" s="1"/>
      <c r="I4" s="5"/>
    </row>
    <row r="5" spans="2:19" ht="16.5" x14ac:dyDescent="0.35">
      <c r="B5" s="3" t="s">
        <v>26</v>
      </c>
      <c r="C5" s="3" t="s">
        <v>27</v>
      </c>
      <c r="D5" s="8" t="s">
        <v>28</v>
      </c>
      <c r="E5" s="4" t="s">
        <v>29</v>
      </c>
      <c r="F5" s="3" t="s">
        <v>30</v>
      </c>
      <c r="G5" s="3" t="s">
        <v>31</v>
      </c>
      <c r="H5" s="3" t="s">
        <v>32</v>
      </c>
      <c r="I5" s="5"/>
      <c r="K5" s="23" t="s">
        <v>134</v>
      </c>
      <c r="L5" s="23" t="s">
        <v>142</v>
      </c>
      <c r="M5" s="24" t="s">
        <v>152</v>
      </c>
      <c r="N5" s="28" t="s">
        <v>189</v>
      </c>
      <c r="O5" s="31" t="s">
        <v>247</v>
      </c>
      <c r="P5" s="32" t="s">
        <v>252</v>
      </c>
      <c r="Q5" s="31">
        <v>0</v>
      </c>
      <c r="R5" s="32" t="s">
        <v>265</v>
      </c>
      <c r="S5" s="16" t="s">
        <v>272</v>
      </c>
    </row>
    <row r="6" spans="2:19" ht="16.5" x14ac:dyDescent="0.35">
      <c r="K6" s="23" t="s">
        <v>135</v>
      </c>
      <c r="L6" s="23" t="s">
        <v>143</v>
      </c>
      <c r="M6" s="25" t="s">
        <v>153</v>
      </c>
      <c r="N6" s="28" t="s">
        <v>190</v>
      </c>
      <c r="O6" s="31" t="s">
        <v>248</v>
      </c>
      <c r="P6" s="32" t="s">
        <v>253</v>
      </c>
      <c r="Q6" s="34">
        <f t="shared" ref="Q6:Q15" si="0">Q5+1</f>
        <v>1</v>
      </c>
      <c r="R6" s="32" t="s">
        <v>266</v>
      </c>
      <c r="S6" s="16" t="s">
        <v>273</v>
      </c>
    </row>
    <row r="7" spans="2:19" ht="16.5" x14ac:dyDescent="0.35">
      <c r="B7" s="12" t="s">
        <v>40</v>
      </c>
      <c r="C7" s="12" t="s">
        <v>41</v>
      </c>
      <c r="D7" s="12" t="s">
        <v>42</v>
      </c>
      <c r="E7" s="13" t="s">
        <v>43</v>
      </c>
      <c r="F7" s="14" t="s">
        <v>44</v>
      </c>
      <c r="G7" s="10" t="s">
        <v>33</v>
      </c>
      <c r="K7" s="23" t="s">
        <v>136</v>
      </c>
      <c r="L7" s="23" t="s">
        <v>144</v>
      </c>
      <c r="M7" s="26" t="s">
        <v>154</v>
      </c>
      <c r="N7" s="28" t="s">
        <v>191</v>
      </c>
      <c r="O7" s="31" t="s">
        <v>249</v>
      </c>
      <c r="P7" s="32" t="s">
        <v>254</v>
      </c>
      <c r="Q7" s="34">
        <f>Q6+1</f>
        <v>2</v>
      </c>
      <c r="R7" s="32" t="s">
        <v>267</v>
      </c>
      <c r="S7" s="16" t="s">
        <v>274</v>
      </c>
    </row>
    <row r="8" spans="2:19" ht="16.5" x14ac:dyDescent="0.35">
      <c r="B8" s="9" t="s">
        <v>34</v>
      </c>
      <c r="C8" s="9" t="s">
        <v>35</v>
      </c>
      <c r="D8" s="9" t="s">
        <v>36</v>
      </c>
      <c r="E8" s="9" t="s">
        <v>37</v>
      </c>
      <c r="F8" s="9" t="s">
        <v>38</v>
      </c>
      <c r="G8" s="9"/>
      <c r="K8" s="23" t="s">
        <v>137</v>
      </c>
      <c r="L8" s="23" t="s">
        <v>145</v>
      </c>
      <c r="M8" s="25" t="s">
        <v>155</v>
      </c>
      <c r="N8" s="29" t="s">
        <v>192</v>
      </c>
      <c r="O8" s="31" t="s">
        <v>250</v>
      </c>
      <c r="P8" s="32" t="s">
        <v>255</v>
      </c>
      <c r="Q8" s="34">
        <f t="shared" si="0"/>
        <v>3</v>
      </c>
      <c r="R8" s="32" t="s">
        <v>268</v>
      </c>
      <c r="S8" s="16" t="s">
        <v>275</v>
      </c>
    </row>
    <row r="9" spans="2:19" ht="16.5" x14ac:dyDescent="0.35">
      <c r="B9" s="11" t="s">
        <v>12</v>
      </c>
      <c r="C9" s="11" t="s">
        <v>13</v>
      </c>
      <c r="D9" s="9"/>
      <c r="E9" s="9"/>
      <c r="F9" s="9"/>
      <c r="G9" s="9"/>
      <c r="K9" s="23" t="s">
        <v>138</v>
      </c>
      <c r="L9" s="23" t="s">
        <v>146</v>
      </c>
      <c r="M9" s="25" t="s">
        <v>156</v>
      </c>
      <c r="N9" s="28" t="s">
        <v>193</v>
      </c>
      <c r="O9" s="31" t="s">
        <v>251</v>
      </c>
      <c r="P9" s="32" t="s">
        <v>256</v>
      </c>
      <c r="Q9" s="34">
        <f t="shared" si="0"/>
        <v>4</v>
      </c>
      <c r="R9" s="32" t="s">
        <v>188</v>
      </c>
      <c r="S9" s="16" t="s">
        <v>276</v>
      </c>
    </row>
    <row r="10" spans="2:19" ht="16.5" x14ac:dyDescent="0.35">
      <c r="K10" s="23" t="s">
        <v>139</v>
      </c>
      <c r="L10" s="23" t="s">
        <v>147</v>
      </c>
      <c r="M10" s="25" t="s">
        <v>157</v>
      </c>
      <c r="N10" s="29" t="s">
        <v>194</v>
      </c>
      <c r="P10" s="32" t="s">
        <v>257</v>
      </c>
      <c r="Q10" s="34">
        <f t="shared" si="0"/>
        <v>5</v>
      </c>
      <c r="S10" s="16" t="s">
        <v>277</v>
      </c>
    </row>
    <row r="11" spans="2:19" ht="16.5" x14ac:dyDescent="0.35">
      <c r="K11" s="23" t="s">
        <v>140</v>
      </c>
      <c r="L11" s="23" t="s">
        <v>148</v>
      </c>
      <c r="M11" s="25" t="s">
        <v>158</v>
      </c>
      <c r="N11" s="28" t="s">
        <v>195</v>
      </c>
      <c r="P11" s="32" t="s">
        <v>258</v>
      </c>
      <c r="Q11" s="34">
        <f t="shared" si="0"/>
        <v>6</v>
      </c>
      <c r="S11" s="16" t="s">
        <v>278</v>
      </c>
    </row>
    <row r="12" spans="2:19" ht="16.5" x14ac:dyDescent="0.35">
      <c r="B12" t="s">
        <v>271</v>
      </c>
      <c r="K12" s="23" t="s">
        <v>141</v>
      </c>
      <c r="L12" s="23" t="s">
        <v>149</v>
      </c>
      <c r="M12" s="25" t="s">
        <v>159</v>
      </c>
      <c r="N12" s="29" t="s">
        <v>196</v>
      </c>
      <c r="P12" s="32" t="s">
        <v>259</v>
      </c>
      <c r="Q12" s="34">
        <f t="shared" si="0"/>
        <v>7</v>
      </c>
      <c r="S12" s="16" t="s">
        <v>279</v>
      </c>
    </row>
    <row r="13" spans="2:19" ht="16.5" x14ac:dyDescent="0.35">
      <c r="B13" s="15" t="s">
        <v>108</v>
      </c>
      <c r="C13" s="16"/>
      <c r="D13" s="16"/>
      <c r="E13" s="16"/>
      <c r="F13" s="16"/>
      <c r="G13" s="16"/>
      <c r="H13" s="16"/>
      <c r="K13" s="23" t="s">
        <v>33</v>
      </c>
      <c r="L13" s="23" t="s">
        <v>150</v>
      </c>
      <c r="M13" s="25" t="s">
        <v>160</v>
      </c>
      <c r="N13" s="29" t="s">
        <v>197</v>
      </c>
      <c r="P13" s="32" t="s">
        <v>260</v>
      </c>
      <c r="Q13" s="34">
        <f t="shared" si="0"/>
        <v>8</v>
      </c>
    </row>
    <row r="14" spans="2:19" ht="16.5" x14ac:dyDescent="0.35">
      <c r="B14" s="17" t="s">
        <v>109</v>
      </c>
      <c r="C14" s="16"/>
      <c r="D14" s="16"/>
      <c r="E14" s="16"/>
      <c r="F14" s="16"/>
      <c r="G14" s="16"/>
      <c r="H14" s="16"/>
      <c r="L14" s="23" t="s">
        <v>151</v>
      </c>
      <c r="M14" s="27" t="s">
        <v>161</v>
      </c>
      <c r="N14" s="29" t="s">
        <v>198</v>
      </c>
      <c r="P14" s="33" t="s">
        <v>261</v>
      </c>
      <c r="Q14" s="34">
        <f t="shared" si="0"/>
        <v>9</v>
      </c>
    </row>
    <row r="15" spans="2:19" ht="16.5" x14ac:dyDescent="0.35">
      <c r="B15" s="18" t="s">
        <v>110</v>
      </c>
      <c r="C15" s="16"/>
      <c r="D15" s="16"/>
      <c r="E15" s="16"/>
      <c r="F15" s="16"/>
      <c r="G15" s="16"/>
      <c r="H15" s="16"/>
      <c r="L15" s="23" t="s">
        <v>33</v>
      </c>
      <c r="M15" s="25" t="s">
        <v>162</v>
      </c>
      <c r="N15" s="29" t="s">
        <v>199</v>
      </c>
      <c r="P15" s="32" t="s">
        <v>262</v>
      </c>
      <c r="Q15" s="34">
        <f t="shared" si="0"/>
        <v>10</v>
      </c>
    </row>
    <row r="16" spans="2:19" ht="16.5" x14ac:dyDescent="0.35">
      <c r="B16" s="18" t="s">
        <v>111</v>
      </c>
      <c r="C16" s="16"/>
      <c r="D16" s="16"/>
      <c r="E16" s="16"/>
      <c r="F16" s="16"/>
      <c r="G16" s="16"/>
      <c r="H16" s="17" t="s">
        <v>115</v>
      </c>
      <c r="M16" s="25" t="s">
        <v>163</v>
      </c>
      <c r="N16" s="29" t="s">
        <v>200</v>
      </c>
      <c r="P16" s="32" t="s">
        <v>263</v>
      </c>
      <c r="Q16" s="31" t="s">
        <v>264</v>
      </c>
    </row>
    <row r="17" spans="2:14" ht="16.5" x14ac:dyDescent="0.35">
      <c r="B17" s="18" t="s">
        <v>112</v>
      </c>
      <c r="C17" s="16"/>
      <c r="D17" s="16"/>
      <c r="E17" s="16"/>
      <c r="F17" s="16"/>
      <c r="G17" s="16"/>
      <c r="H17" s="17" t="s">
        <v>116</v>
      </c>
      <c r="M17" s="24" t="s">
        <v>164</v>
      </c>
      <c r="N17" s="28" t="s">
        <v>201</v>
      </c>
    </row>
    <row r="18" spans="2:14" ht="16.5" x14ac:dyDescent="0.35">
      <c r="B18" s="18" t="s">
        <v>113</v>
      </c>
      <c r="C18" s="16"/>
      <c r="D18" s="16"/>
      <c r="E18" s="16"/>
      <c r="F18" s="16"/>
      <c r="G18" s="16"/>
      <c r="H18" s="17" t="s">
        <v>117</v>
      </c>
      <c r="M18" s="24" t="s">
        <v>165</v>
      </c>
      <c r="N18" s="29" t="s">
        <v>202</v>
      </c>
    </row>
    <row r="19" spans="2:14" ht="16.5" x14ac:dyDescent="0.35">
      <c r="B19" s="19" t="s">
        <v>62</v>
      </c>
      <c r="C19" s="16"/>
      <c r="D19" s="16"/>
      <c r="E19" s="16"/>
      <c r="F19" s="16"/>
      <c r="G19" s="16"/>
      <c r="H19" s="16"/>
      <c r="M19" s="24"/>
      <c r="N19" s="29"/>
    </row>
    <row r="20" spans="2:14" ht="16.5" x14ac:dyDescent="0.35">
      <c r="B20" s="19" t="s">
        <v>63</v>
      </c>
      <c r="C20" s="16"/>
      <c r="D20" s="16"/>
      <c r="E20" s="16"/>
      <c r="F20" s="16"/>
      <c r="G20" s="16"/>
      <c r="H20" s="16"/>
      <c r="M20" s="24" t="s">
        <v>166</v>
      </c>
      <c r="N20" s="28" t="s">
        <v>203</v>
      </c>
    </row>
    <row r="21" spans="2:14" ht="16.5" x14ac:dyDescent="0.35">
      <c r="B21" s="19" t="s">
        <v>64</v>
      </c>
      <c r="C21" s="16"/>
      <c r="D21" s="16"/>
      <c r="E21" s="16"/>
      <c r="F21" s="16"/>
      <c r="G21" s="16"/>
      <c r="H21" s="16"/>
      <c r="M21" s="24" t="s">
        <v>167</v>
      </c>
      <c r="N21" s="29" t="s">
        <v>204</v>
      </c>
    </row>
    <row r="22" spans="2:14" ht="16.5" x14ac:dyDescent="0.35">
      <c r="B22" s="20" t="s">
        <v>65</v>
      </c>
      <c r="C22" s="16"/>
      <c r="D22" s="16"/>
      <c r="E22" s="16"/>
      <c r="F22" s="16"/>
      <c r="G22" s="16"/>
      <c r="H22" s="16"/>
      <c r="M22" s="24" t="s">
        <v>168</v>
      </c>
      <c r="N22" s="29" t="s">
        <v>205</v>
      </c>
    </row>
    <row r="23" spans="2:14" ht="16.5" x14ac:dyDescent="0.35">
      <c r="B23" s="20" t="s">
        <v>66</v>
      </c>
      <c r="C23" s="16"/>
      <c r="D23" s="16"/>
      <c r="E23" s="16"/>
      <c r="F23" s="16"/>
      <c r="G23" s="16"/>
      <c r="H23" s="16"/>
      <c r="M23" s="24" t="s">
        <v>169</v>
      </c>
      <c r="N23" s="29" t="s">
        <v>206</v>
      </c>
    </row>
    <row r="24" spans="2:14" ht="16.5" x14ac:dyDescent="0.35">
      <c r="B24" s="20" t="s">
        <v>67</v>
      </c>
      <c r="C24" s="16"/>
      <c r="D24" s="16"/>
      <c r="E24" s="16"/>
      <c r="F24" s="16"/>
      <c r="G24" s="16"/>
      <c r="H24" s="16"/>
      <c r="M24" s="24" t="s">
        <v>170</v>
      </c>
      <c r="N24" s="29" t="s">
        <v>207</v>
      </c>
    </row>
    <row r="25" spans="2:14" ht="16.5" x14ac:dyDescent="0.35">
      <c r="M25" s="24" t="s">
        <v>171</v>
      </c>
      <c r="N25" s="29" t="s">
        <v>208</v>
      </c>
    </row>
    <row r="26" spans="2:14" ht="16.5" x14ac:dyDescent="0.35">
      <c r="M26" s="24" t="s">
        <v>172</v>
      </c>
      <c r="N26" s="29" t="s">
        <v>209</v>
      </c>
    </row>
    <row r="27" spans="2:14" ht="16.5" x14ac:dyDescent="0.35">
      <c r="M27" s="24" t="s">
        <v>173</v>
      </c>
      <c r="N27" s="29" t="s">
        <v>210</v>
      </c>
    </row>
    <row r="28" spans="2:14" ht="16.5" x14ac:dyDescent="0.35">
      <c r="M28" s="24"/>
      <c r="N28" s="29"/>
    </row>
    <row r="29" spans="2:14" ht="16.5" x14ac:dyDescent="0.35">
      <c r="M29" s="24" t="s">
        <v>174</v>
      </c>
      <c r="N29" s="29" t="s">
        <v>211</v>
      </c>
    </row>
    <row r="30" spans="2:14" ht="16.5" x14ac:dyDescent="0.35">
      <c r="M30" s="24" t="s">
        <v>175</v>
      </c>
      <c r="N30" s="29" t="s">
        <v>212</v>
      </c>
    </row>
    <row r="31" spans="2:14" ht="16.5" x14ac:dyDescent="0.35">
      <c r="M31" s="24" t="s">
        <v>176</v>
      </c>
      <c r="N31" s="29" t="s">
        <v>213</v>
      </c>
    </row>
    <row r="32" spans="2:14" ht="16.5" x14ac:dyDescent="0.35">
      <c r="M32" s="24" t="s">
        <v>177</v>
      </c>
      <c r="N32" s="28" t="s">
        <v>214</v>
      </c>
    </row>
    <row r="33" spans="13:14" ht="16.5" x14ac:dyDescent="0.35">
      <c r="M33" s="24" t="s">
        <v>178</v>
      </c>
      <c r="N33" s="29" t="s">
        <v>215</v>
      </c>
    </row>
    <row r="34" spans="13:14" ht="16.5" x14ac:dyDescent="0.35">
      <c r="M34" s="24" t="s">
        <v>179</v>
      </c>
      <c r="N34" s="28" t="s">
        <v>216</v>
      </c>
    </row>
    <row r="35" spans="13:14" ht="16.5" x14ac:dyDescent="0.35">
      <c r="M35" s="24" t="s">
        <v>180</v>
      </c>
      <c r="N35" s="28" t="s">
        <v>217</v>
      </c>
    </row>
    <row r="36" spans="13:14" ht="16.5" x14ac:dyDescent="0.35">
      <c r="M36" s="24" t="s">
        <v>181</v>
      </c>
      <c r="N36" s="29" t="s">
        <v>218</v>
      </c>
    </row>
    <row r="37" spans="13:14" ht="16.5" x14ac:dyDescent="0.35">
      <c r="M37" s="24" t="s">
        <v>182</v>
      </c>
      <c r="N37" s="28" t="s">
        <v>219</v>
      </c>
    </row>
    <row r="38" spans="13:14" ht="16.5" x14ac:dyDescent="0.35">
      <c r="M38" s="24" t="s">
        <v>183</v>
      </c>
      <c r="N38" s="29" t="s">
        <v>220</v>
      </c>
    </row>
    <row r="39" spans="13:14" ht="16.5" x14ac:dyDescent="0.35">
      <c r="M39" s="24" t="s">
        <v>184</v>
      </c>
      <c r="N39" s="29" t="s">
        <v>221</v>
      </c>
    </row>
    <row r="40" spans="13:14" ht="16.5" x14ac:dyDescent="0.35">
      <c r="M40" s="24" t="s">
        <v>185</v>
      </c>
      <c r="N40" s="29" t="s">
        <v>222</v>
      </c>
    </row>
    <row r="41" spans="13:14" ht="16.5" x14ac:dyDescent="0.35">
      <c r="M41" s="24" t="s">
        <v>186</v>
      </c>
      <c r="N41" s="28" t="s">
        <v>223</v>
      </c>
    </row>
    <row r="42" spans="13:14" ht="16.5" x14ac:dyDescent="0.35">
      <c r="M42" s="24" t="s">
        <v>187</v>
      </c>
      <c r="N42" s="29" t="s">
        <v>224</v>
      </c>
    </row>
    <row r="43" spans="13:14" ht="16.5" x14ac:dyDescent="0.35">
      <c r="M43" s="24" t="s">
        <v>188</v>
      </c>
      <c r="N43" s="29" t="s">
        <v>225</v>
      </c>
    </row>
    <row r="44" spans="13:14" ht="16.5" x14ac:dyDescent="0.35">
      <c r="N44" s="28" t="s">
        <v>226</v>
      </c>
    </row>
    <row r="45" spans="13:14" x14ac:dyDescent="0.25">
      <c r="N45" s="29" t="s">
        <v>227</v>
      </c>
    </row>
    <row r="46" spans="13:14" ht="16.5" x14ac:dyDescent="0.35">
      <c r="N46" s="28" t="s">
        <v>228</v>
      </c>
    </row>
    <row r="47" spans="13:14" x14ac:dyDescent="0.25">
      <c r="N47" s="29" t="s">
        <v>229</v>
      </c>
    </row>
    <row r="48" spans="13:14" ht="16.5" x14ac:dyDescent="0.35">
      <c r="N48" s="28" t="s">
        <v>230</v>
      </c>
    </row>
    <row r="49" spans="14:14" ht="16.5" x14ac:dyDescent="0.35">
      <c r="N49" s="28" t="s">
        <v>231</v>
      </c>
    </row>
    <row r="50" spans="14:14" x14ac:dyDescent="0.25">
      <c r="N50" s="29" t="s">
        <v>232</v>
      </c>
    </row>
    <row r="51" spans="14:14" x14ac:dyDescent="0.25">
      <c r="N51" s="29" t="s">
        <v>233</v>
      </c>
    </row>
    <row r="52" spans="14:14" x14ac:dyDescent="0.25">
      <c r="N52" s="29" t="s">
        <v>234</v>
      </c>
    </row>
    <row r="53" spans="14:14" ht="16.5" x14ac:dyDescent="0.35">
      <c r="N53" s="28" t="s">
        <v>235</v>
      </c>
    </row>
    <row r="54" spans="14:14" ht="16.5" x14ac:dyDescent="0.35">
      <c r="N54" s="28" t="s">
        <v>236</v>
      </c>
    </row>
    <row r="55" spans="14:14" x14ac:dyDescent="0.25">
      <c r="N55" s="29" t="s">
        <v>237</v>
      </c>
    </row>
    <row r="56" spans="14:14" x14ac:dyDescent="0.25">
      <c r="N56" s="29" t="s">
        <v>238</v>
      </c>
    </row>
    <row r="57" spans="14:14" ht="16.5" x14ac:dyDescent="0.35">
      <c r="N57" s="28" t="s">
        <v>239</v>
      </c>
    </row>
    <row r="58" spans="14:14" ht="16.5" x14ac:dyDescent="0.35">
      <c r="N58" s="28" t="s">
        <v>240</v>
      </c>
    </row>
    <row r="59" spans="14:14" x14ac:dyDescent="0.25">
      <c r="N59" s="29" t="s">
        <v>241</v>
      </c>
    </row>
    <row r="60" spans="14:14" ht="16.5" x14ac:dyDescent="0.35">
      <c r="N60" s="28" t="s">
        <v>242</v>
      </c>
    </row>
    <row r="61" spans="14:14" x14ac:dyDescent="0.25">
      <c r="N61" s="29" t="s">
        <v>243</v>
      </c>
    </row>
    <row r="62" spans="14:14" x14ac:dyDescent="0.25">
      <c r="N62" s="29" t="s">
        <v>244</v>
      </c>
    </row>
    <row r="63" spans="14:14" ht="16.5" x14ac:dyDescent="0.35">
      <c r="N63" s="28" t="s">
        <v>245</v>
      </c>
    </row>
    <row r="64" spans="14:14" ht="16.5" x14ac:dyDescent="0.35">
      <c r="N64" s="28" t="s">
        <v>246</v>
      </c>
    </row>
    <row r="65" spans="14:14" ht="16.5" x14ac:dyDescent="0.35">
      <c r="N65" s="30" t="s">
        <v>188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Course Outline</vt:lpstr>
      <vt:lpstr>Formatting</vt:lpstr>
      <vt:lpstr>Validation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Kelby Kar Chun Mah</dc:creator>
  <cp:lastModifiedBy>Patrick</cp:lastModifiedBy>
  <cp:lastPrinted>2018-01-06T01:15:26Z</cp:lastPrinted>
  <dcterms:created xsi:type="dcterms:W3CDTF">2015-06-05T18:17:20Z</dcterms:created>
  <dcterms:modified xsi:type="dcterms:W3CDTF">2020-12-15T20:20:32Z</dcterms:modified>
</cp:coreProperties>
</file>